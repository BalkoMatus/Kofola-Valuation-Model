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tusbalko/Library/CloudStorage/GoogleDrive-72023624@fsv.cuni.cz/My Drive/Kofola/Model/"/>
    </mc:Choice>
  </mc:AlternateContent>
  <xr:revisionPtr revIDLastSave="0" documentId="13_ncr:1_{B18ED84A-7118-7148-8E22-89BDA4A3ACCD}" xr6:coauthVersionLast="47" xr6:coauthVersionMax="47" xr10:uidLastSave="{00000000-0000-0000-0000-000000000000}"/>
  <bookViews>
    <workbookView xWindow="16800" yWindow="7940" windowWidth="28800" windowHeight="18000" activeTab="1" xr2:uid="{00000000-000D-0000-FFFF-FFFF00000000}"/>
  </bookViews>
  <sheets>
    <sheet name="Cover" sheetId="1" r:id="rId1"/>
    <sheet name="Dashboard" sheetId="7" r:id="rId2"/>
    <sheet name="Outputs" sheetId="2" r:id="rId3"/>
    <sheet name="Inputs" sheetId="3" r:id="rId4"/>
    <sheet name="Model" sheetId="4" r:id="rId5"/>
    <sheet name="Comps" sheetId="5" r:id="rId6"/>
    <sheet name="Hist" sheetId="6" r:id="rId7"/>
  </sheets>
  <definedNames>
    <definedName name="FirstYear">Inputs!$D$9</definedName>
    <definedName name="GuideHigh">Inputs!$E$68</definedName>
    <definedName name="GuideLow">Inputs!$D$68</definedName>
    <definedName name="LastActual">Inputs!$D$10</definedName>
    <definedName name="ModelChecks">Cover!$G$29</definedName>
    <definedName name="_xlnm.Print_Area" localSheetId="1">Dashboard!$A$1:$N$73</definedName>
    <definedName name="Scenario">Outputs!$D$5</definedName>
    <definedName name="ScenarioList">Inputs!$D$131:$D$133</definedName>
    <definedName name="ScenarioName">Inputs!$D$135</definedName>
    <definedName name="SharesOut">Inputs!$D$15</definedName>
    <definedName name="TaxRate">Inputs!$D$12</definedName>
    <definedName name="TGR">Outputs!$D$9</definedName>
    <definedName name="ValDate">Inputs!$D$11</definedName>
    <definedName name="WACC">Outputs!$D$8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5" l="1"/>
  <c r="Q8" i="7"/>
  <c r="I80" i="5"/>
  <c r="I79" i="5"/>
  <c r="I78" i="5"/>
  <c r="I77" i="5"/>
  <c r="J35" i="5"/>
  <c r="I35" i="5"/>
  <c r="D35" i="5"/>
  <c r="J28" i="5"/>
  <c r="I28" i="5"/>
  <c r="D28" i="5"/>
  <c r="J27" i="5"/>
  <c r="I27" i="5"/>
  <c r="D27" i="5"/>
  <c r="J26" i="5"/>
  <c r="I26" i="5"/>
  <c r="D26" i="5"/>
  <c r="J25" i="5"/>
  <c r="I25" i="5"/>
  <c r="D25" i="5"/>
  <c r="K18" i="5"/>
  <c r="J18" i="5"/>
  <c r="I18" i="5"/>
  <c r="H18" i="5"/>
  <c r="G18" i="5"/>
  <c r="F18" i="5"/>
  <c r="J38" i="5" s="1"/>
  <c r="D18" i="5"/>
  <c r="D135" i="3"/>
  <c r="D119" i="3"/>
  <c r="D120" i="3" s="1"/>
  <c r="D115" i="3"/>
  <c r="D111" i="3"/>
  <c r="D108" i="3"/>
  <c r="L102" i="3"/>
  <c r="L77" i="4" s="1"/>
  <c r="L236" i="4" s="1"/>
  <c r="K102" i="3"/>
  <c r="K77" i="4" s="1"/>
  <c r="J102" i="3"/>
  <c r="J77" i="4" s="1"/>
  <c r="I102" i="3"/>
  <c r="I77" i="4" s="1"/>
  <c r="H102" i="3"/>
  <c r="H77" i="4" s="1"/>
  <c r="L75" i="3"/>
  <c r="K75" i="3"/>
  <c r="J75" i="3"/>
  <c r="I75" i="3"/>
  <c r="H75" i="3"/>
  <c r="L74" i="3"/>
  <c r="K74" i="3"/>
  <c r="J74" i="3"/>
  <c r="I74" i="3"/>
  <c r="H74" i="3"/>
  <c r="L61" i="3"/>
  <c r="K61" i="3"/>
  <c r="J61" i="3"/>
  <c r="I61" i="3"/>
  <c r="H61" i="3"/>
  <c r="L55" i="3"/>
  <c r="K55" i="3"/>
  <c r="J55" i="3"/>
  <c r="I55" i="3"/>
  <c r="H55" i="3"/>
  <c r="L44" i="3"/>
  <c r="K44" i="3"/>
  <c r="J44" i="3"/>
  <c r="I44" i="3"/>
  <c r="H44" i="3"/>
  <c r="L38" i="3"/>
  <c r="K38" i="3"/>
  <c r="J38" i="3"/>
  <c r="I38" i="3"/>
  <c r="H38" i="3"/>
  <c r="L32" i="3"/>
  <c r="K32" i="3"/>
  <c r="J32" i="3"/>
  <c r="I32" i="3"/>
  <c r="H32" i="3"/>
  <c r="L26" i="3"/>
  <c r="K26" i="3"/>
  <c r="J26" i="3"/>
  <c r="I26" i="3"/>
  <c r="H26" i="3"/>
  <c r="D15" i="3"/>
  <c r="G123" i="2"/>
  <c r="G115" i="2"/>
  <c r="H107" i="2"/>
  <c r="F107" i="2"/>
  <c r="E107" i="2"/>
  <c r="B96" i="2"/>
  <c r="B95" i="2"/>
  <c r="B94" i="2"/>
  <c r="B91" i="2"/>
  <c r="B90" i="2"/>
  <c r="B89" i="2"/>
  <c r="B86" i="2"/>
  <c r="B85" i="2"/>
  <c r="B84" i="2"/>
  <c r="B81" i="2"/>
  <c r="B80" i="2"/>
  <c r="B79" i="2"/>
  <c r="B76" i="2"/>
  <c r="B75" i="2"/>
  <c r="B74" i="2"/>
  <c r="B71" i="2"/>
  <c r="B70" i="2"/>
  <c r="B69" i="2"/>
  <c r="B66" i="2"/>
  <c r="B65" i="2"/>
  <c r="B64" i="2"/>
  <c r="B58" i="2"/>
  <c r="B57" i="2"/>
  <c r="B56" i="2"/>
  <c r="G45" i="2"/>
  <c r="S26" i="7" s="1"/>
  <c r="F45" i="2"/>
  <c r="R26" i="7" s="1"/>
  <c r="D45" i="2"/>
  <c r="D33" i="2"/>
  <c r="S56" i="7"/>
  <c r="R56" i="7"/>
  <c r="Q56" i="7"/>
  <c r="S55" i="7"/>
  <c r="R55" i="7"/>
  <c r="Q55" i="7"/>
  <c r="S54" i="7"/>
  <c r="R54" i="7"/>
  <c r="Q54" i="7"/>
  <c r="Y52" i="7"/>
  <c r="X52" i="7"/>
  <c r="W52" i="7"/>
  <c r="V52" i="7"/>
  <c r="U52" i="7"/>
  <c r="P52" i="7"/>
  <c r="Y51" i="7"/>
  <c r="X51" i="7"/>
  <c r="W51" i="7"/>
  <c r="V51" i="7"/>
  <c r="U51" i="7"/>
  <c r="P51" i="7"/>
  <c r="Y50" i="7"/>
  <c r="X50" i="7"/>
  <c r="W50" i="7"/>
  <c r="V50" i="7"/>
  <c r="U50" i="7"/>
  <c r="P50" i="7"/>
  <c r="P26" i="7"/>
  <c r="P25" i="7"/>
  <c r="P24" i="7"/>
  <c r="P23" i="7"/>
  <c r="P22" i="7"/>
  <c r="P21" i="7"/>
  <c r="B13" i="7"/>
  <c r="Q9" i="7"/>
  <c r="F6" i="7"/>
  <c r="L294" i="4"/>
  <c r="D294" i="4"/>
  <c r="D293" i="4"/>
  <c r="L292" i="4"/>
  <c r="L331" i="4" s="1"/>
  <c r="D292" i="4"/>
  <c r="G263" i="4"/>
  <c r="G301" i="4" s="1"/>
  <c r="G302" i="4" s="1"/>
  <c r="D263" i="4"/>
  <c r="G258" i="4"/>
  <c r="G257" i="4"/>
  <c r="G256" i="4"/>
  <c r="G255" i="4"/>
  <c r="G252" i="4"/>
  <c r="D243" i="4"/>
  <c r="G240" i="4"/>
  <c r="F240" i="4"/>
  <c r="E240" i="4"/>
  <c r="D240" i="4"/>
  <c r="D232" i="4"/>
  <c r="G229" i="4"/>
  <c r="G222" i="4"/>
  <c r="F222" i="4"/>
  <c r="E222" i="4"/>
  <c r="D222" i="4"/>
  <c r="G217" i="4"/>
  <c r="F217" i="4"/>
  <c r="E217" i="4"/>
  <c r="D217" i="4"/>
  <c r="G216" i="4"/>
  <c r="F216" i="4"/>
  <c r="E216" i="4"/>
  <c r="D216" i="4"/>
  <c r="H206" i="4"/>
  <c r="H200" i="4"/>
  <c r="L196" i="4"/>
  <c r="K196" i="4"/>
  <c r="J196" i="4"/>
  <c r="I196" i="4"/>
  <c r="H196" i="4"/>
  <c r="G182" i="4"/>
  <c r="H182" i="4" s="1"/>
  <c r="F182" i="4"/>
  <c r="E182" i="4"/>
  <c r="D182" i="4"/>
  <c r="G181" i="4"/>
  <c r="F181" i="4"/>
  <c r="E181" i="4"/>
  <c r="D181" i="4"/>
  <c r="G178" i="4"/>
  <c r="F178" i="4"/>
  <c r="H176" i="4"/>
  <c r="G176" i="4"/>
  <c r="F176" i="4"/>
  <c r="E176" i="4"/>
  <c r="G166" i="4"/>
  <c r="G172" i="4" s="1"/>
  <c r="G84" i="3" s="1"/>
  <c r="F166" i="4"/>
  <c r="F172" i="4" s="1"/>
  <c r="F84" i="3" s="1"/>
  <c r="E166" i="4"/>
  <c r="E172" i="4" s="1"/>
  <c r="E84" i="3" s="1"/>
  <c r="D166" i="4"/>
  <c r="D172" i="4" s="1"/>
  <c r="D84" i="3" s="1"/>
  <c r="G165" i="4"/>
  <c r="G171" i="4" s="1"/>
  <c r="G83" i="3" s="1"/>
  <c r="F165" i="4"/>
  <c r="F171" i="4" s="1"/>
  <c r="F83" i="3" s="1"/>
  <c r="L158" i="4"/>
  <c r="K158" i="4"/>
  <c r="J158" i="4"/>
  <c r="I158" i="4"/>
  <c r="L152" i="4"/>
  <c r="K152" i="4"/>
  <c r="J152" i="4"/>
  <c r="I152" i="4"/>
  <c r="H152" i="4"/>
  <c r="D142" i="4"/>
  <c r="G141" i="4"/>
  <c r="F141" i="4"/>
  <c r="E141" i="4"/>
  <c r="D141" i="4"/>
  <c r="G137" i="4"/>
  <c r="F137" i="4"/>
  <c r="E137" i="4"/>
  <c r="D137" i="4"/>
  <c r="G136" i="4"/>
  <c r="F136" i="4"/>
  <c r="E136" i="4"/>
  <c r="D136" i="4"/>
  <c r="G135" i="4"/>
  <c r="F135" i="4"/>
  <c r="E135" i="4"/>
  <c r="D135" i="4"/>
  <c r="G134" i="4"/>
  <c r="F134" i="4"/>
  <c r="E134" i="4"/>
  <c r="D134" i="4"/>
  <c r="G133" i="4"/>
  <c r="F133" i="4"/>
  <c r="E133" i="4"/>
  <c r="D133" i="4"/>
  <c r="G132" i="4"/>
  <c r="F132" i="4"/>
  <c r="E132" i="4"/>
  <c r="D132" i="4"/>
  <c r="H128" i="4"/>
  <c r="G128" i="4"/>
  <c r="F128" i="4"/>
  <c r="E128" i="4"/>
  <c r="D128" i="4"/>
  <c r="G127" i="4"/>
  <c r="G153" i="4" s="1"/>
  <c r="F127" i="4"/>
  <c r="F153" i="4" s="1"/>
  <c r="E127" i="4"/>
  <c r="E153" i="4" s="1"/>
  <c r="D127" i="4"/>
  <c r="D153" i="4" s="1"/>
  <c r="H126" i="4"/>
  <c r="H158" i="4" s="1"/>
  <c r="G126" i="4"/>
  <c r="G158" i="4" s="1"/>
  <c r="F126" i="4"/>
  <c r="F158" i="4" s="1"/>
  <c r="E126" i="4"/>
  <c r="E158" i="4" s="1"/>
  <c r="D126" i="4"/>
  <c r="D158" i="4" s="1"/>
  <c r="G125" i="4"/>
  <c r="F125" i="4"/>
  <c r="E125" i="4"/>
  <c r="D125" i="4"/>
  <c r="G124" i="4"/>
  <c r="G152" i="4" s="1"/>
  <c r="F124" i="4"/>
  <c r="F152" i="4" s="1"/>
  <c r="E124" i="4"/>
  <c r="E152" i="4" s="1"/>
  <c r="D124" i="4"/>
  <c r="D152" i="4" s="1"/>
  <c r="G123" i="4"/>
  <c r="F123" i="4"/>
  <c r="E123" i="4"/>
  <c r="D123" i="4"/>
  <c r="G119" i="4"/>
  <c r="F119" i="4"/>
  <c r="E119" i="4"/>
  <c r="D119" i="4"/>
  <c r="G117" i="4"/>
  <c r="F117" i="4"/>
  <c r="E117" i="4"/>
  <c r="D117" i="4"/>
  <c r="G116" i="4"/>
  <c r="G247" i="4" s="1"/>
  <c r="F116" i="4"/>
  <c r="F247" i="4" s="1"/>
  <c r="E116" i="4"/>
  <c r="E247" i="4" s="1"/>
  <c r="D116" i="4"/>
  <c r="D247" i="4" s="1"/>
  <c r="L115" i="4"/>
  <c r="K115" i="4"/>
  <c r="J115" i="4"/>
  <c r="I115" i="4"/>
  <c r="H115" i="4"/>
  <c r="G115" i="4"/>
  <c r="F115" i="4"/>
  <c r="E115" i="4"/>
  <c r="D115" i="4"/>
  <c r="G114" i="4"/>
  <c r="F114" i="4"/>
  <c r="E114" i="4"/>
  <c r="D114" i="4"/>
  <c r="G113" i="4"/>
  <c r="F113" i="4"/>
  <c r="E113" i="4"/>
  <c r="D113" i="4"/>
  <c r="G112" i="4"/>
  <c r="G118" i="4" s="1"/>
  <c r="F112" i="4"/>
  <c r="E112" i="4"/>
  <c r="D112" i="4"/>
  <c r="G103" i="4"/>
  <c r="G234" i="4" s="1"/>
  <c r="F103" i="4"/>
  <c r="F234" i="4" s="1"/>
  <c r="E103" i="4"/>
  <c r="E234" i="4" s="1"/>
  <c r="D103" i="4"/>
  <c r="D234" i="4" s="1"/>
  <c r="G102" i="4"/>
  <c r="F102" i="4"/>
  <c r="E102" i="4"/>
  <c r="D102" i="4"/>
  <c r="G100" i="4"/>
  <c r="F100" i="4"/>
  <c r="E100" i="4"/>
  <c r="D100" i="4"/>
  <c r="G99" i="4"/>
  <c r="F99" i="4"/>
  <c r="E99" i="4"/>
  <c r="D99" i="4"/>
  <c r="G98" i="4"/>
  <c r="F98" i="4"/>
  <c r="E98" i="4"/>
  <c r="D98" i="4"/>
  <c r="G97" i="4"/>
  <c r="H97" i="4" s="1"/>
  <c r="I97" i="4" s="1"/>
  <c r="J97" i="4" s="1"/>
  <c r="K97" i="4" s="1"/>
  <c r="L97" i="4" s="1"/>
  <c r="F97" i="4"/>
  <c r="E97" i="4"/>
  <c r="D97" i="4"/>
  <c r="G96" i="4"/>
  <c r="F96" i="4"/>
  <c r="E96" i="4"/>
  <c r="D96" i="4"/>
  <c r="G91" i="4"/>
  <c r="H91" i="4" s="1"/>
  <c r="I91" i="4" s="1"/>
  <c r="J91" i="4" s="1"/>
  <c r="K91" i="4" s="1"/>
  <c r="L91" i="4" s="1"/>
  <c r="F91" i="4"/>
  <c r="E91" i="4"/>
  <c r="D91" i="4"/>
  <c r="G90" i="4"/>
  <c r="F90" i="4"/>
  <c r="E90" i="4"/>
  <c r="D90" i="4"/>
  <c r="G89" i="4"/>
  <c r="F89" i="4"/>
  <c r="E89" i="4"/>
  <c r="D89" i="4"/>
  <c r="G88" i="4"/>
  <c r="G92" i="4" s="1"/>
  <c r="F88" i="4"/>
  <c r="F92" i="4" s="1"/>
  <c r="E88" i="4"/>
  <c r="E92" i="4" s="1"/>
  <c r="D88" i="4"/>
  <c r="D92" i="4" s="1"/>
  <c r="G86" i="4"/>
  <c r="H86" i="4" s="1"/>
  <c r="I86" i="4" s="1"/>
  <c r="J86" i="4" s="1"/>
  <c r="K86" i="4" s="1"/>
  <c r="L86" i="4" s="1"/>
  <c r="F86" i="4"/>
  <c r="E86" i="4"/>
  <c r="D86" i="4"/>
  <c r="G85" i="4"/>
  <c r="F85" i="4"/>
  <c r="E85" i="4"/>
  <c r="E165" i="4" s="1"/>
  <c r="E171" i="4" s="1"/>
  <c r="E83" i="3" s="1"/>
  <c r="D85" i="4"/>
  <c r="D165" i="4" s="1"/>
  <c r="D171" i="4" s="1"/>
  <c r="D83" i="3" s="1"/>
  <c r="G84" i="4"/>
  <c r="G164" i="4" s="1"/>
  <c r="F84" i="4"/>
  <c r="F164" i="4" s="1"/>
  <c r="E84" i="4"/>
  <c r="E164" i="4" s="1"/>
  <c r="D84" i="4"/>
  <c r="D164" i="4" s="1"/>
  <c r="G83" i="4"/>
  <c r="G218" i="4" s="1"/>
  <c r="G219" i="4" s="1"/>
  <c r="F83" i="4"/>
  <c r="E83" i="4"/>
  <c r="D83" i="4"/>
  <c r="G78" i="4"/>
  <c r="G237" i="4" s="1"/>
  <c r="F78" i="4"/>
  <c r="F237" i="4" s="1"/>
  <c r="E78" i="4"/>
  <c r="E237" i="4" s="1"/>
  <c r="D78" i="4"/>
  <c r="D237" i="4" s="1"/>
  <c r="G77" i="4"/>
  <c r="F77" i="4"/>
  <c r="E77" i="4"/>
  <c r="D77" i="4"/>
  <c r="G76" i="4"/>
  <c r="F76" i="4"/>
  <c r="E76" i="4"/>
  <c r="D76" i="4"/>
  <c r="G69" i="4"/>
  <c r="F69" i="4"/>
  <c r="E69" i="4"/>
  <c r="D69" i="4"/>
  <c r="G67" i="4"/>
  <c r="G245" i="4" s="1"/>
  <c r="F67" i="4"/>
  <c r="F245" i="4" s="1"/>
  <c r="E67" i="4"/>
  <c r="E245" i="4" s="1"/>
  <c r="D67" i="4"/>
  <c r="D245" i="4" s="1"/>
  <c r="L65" i="4"/>
  <c r="K65" i="4"/>
  <c r="J65" i="4"/>
  <c r="I65" i="4"/>
  <c r="H65" i="4"/>
  <c r="G65" i="4"/>
  <c r="F65" i="4"/>
  <c r="E65" i="4"/>
  <c r="D65" i="4"/>
  <c r="G64" i="4"/>
  <c r="F64" i="4"/>
  <c r="E64" i="4"/>
  <c r="D64" i="4"/>
  <c r="G63" i="4"/>
  <c r="F63" i="4"/>
  <c r="E63" i="4"/>
  <c r="D63" i="4"/>
  <c r="G61" i="4"/>
  <c r="G179" i="4" s="1"/>
  <c r="F61" i="4"/>
  <c r="F179" i="4" s="1"/>
  <c r="E61" i="4"/>
  <c r="E179" i="4" s="1"/>
  <c r="D61" i="4"/>
  <c r="D179" i="4" s="1"/>
  <c r="G54" i="4"/>
  <c r="F54" i="4"/>
  <c r="E54" i="4"/>
  <c r="D54" i="4"/>
  <c r="G53" i="4"/>
  <c r="F53" i="4"/>
  <c r="E53" i="4"/>
  <c r="D53" i="4"/>
  <c r="G52" i="4"/>
  <c r="F52" i="4"/>
  <c r="E52" i="4"/>
  <c r="D52" i="4"/>
  <c r="G51" i="4"/>
  <c r="F51" i="4"/>
  <c r="E51" i="4"/>
  <c r="D51" i="4"/>
  <c r="L37" i="4"/>
  <c r="K37" i="4"/>
  <c r="J37" i="4"/>
  <c r="I37" i="4"/>
  <c r="H37" i="4"/>
  <c r="G37" i="4"/>
  <c r="F37" i="4"/>
  <c r="E37" i="4"/>
  <c r="D37" i="4"/>
  <c r="L35" i="4"/>
  <c r="K35" i="4"/>
  <c r="J35" i="4"/>
  <c r="I35" i="4"/>
  <c r="H35" i="4"/>
  <c r="G35" i="4"/>
  <c r="F35" i="4"/>
  <c r="E35" i="4"/>
  <c r="D35" i="4"/>
  <c r="G34" i="4"/>
  <c r="F34" i="4"/>
  <c r="E34" i="4"/>
  <c r="D34" i="4"/>
  <c r="G33" i="4"/>
  <c r="F33" i="4"/>
  <c r="E33" i="4"/>
  <c r="D33" i="4"/>
  <c r="G32" i="4"/>
  <c r="F32" i="4"/>
  <c r="E32" i="4"/>
  <c r="D32" i="4"/>
  <c r="G31" i="4"/>
  <c r="F31" i="4"/>
  <c r="E31" i="4"/>
  <c r="D31" i="4"/>
  <c r="G30" i="4"/>
  <c r="F30" i="4"/>
  <c r="E30" i="4"/>
  <c r="D30" i="4"/>
  <c r="G15" i="4"/>
  <c r="F15" i="4"/>
  <c r="E15" i="4"/>
  <c r="D15" i="4"/>
  <c r="G14" i="4"/>
  <c r="F14" i="4"/>
  <c r="E14" i="4"/>
  <c r="D14" i="4"/>
  <c r="G13" i="4"/>
  <c r="F13" i="4"/>
  <c r="E13" i="4"/>
  <c r="D13" i="4"/>
  <c r="G12" i="4"/>
  <c r="F12" i="4"/>
  <c r="E12" i="4"/>
  <c r="D12" i="4"/>
  <c r="G11" i="4"/>
  <c r="F11" i="4"/>
  <c r="E11" i="4"/>
  <c r="D11" i="4"/>
  <c r="D4" i="4"/>
  <c r="F118" i="4" l="1"/>
  <c r="E118" i="4"/>
  <c r="D118" i="4"/>
  <c r="F101" i="4"/>
  <c r="E101" i="4"/>
  <c r="D101" i="4"/>
  <c r="H90" i="4"/>
  <c r="I90" i="4" s="1"/>
  <c r="J90" i="4" s="1"/>
  <c r="K90" i="4" s="1"/>
  <c r="L90" i="4" s="1"/>
  <c r="G223" i="4"/>
  <c r="F223" i="4"/>
  <c r="E223" i="4"/>
  <c r="R57" i="7"/>
  <c r="S57" i="7"/>
  <c r="Q57" i="7"/>
  <c r="T43" i="7"/>
  <c r="G156" i="4"/>
  <c r="S43" i="7"/>
  <c r="F156" i="4"/>
  <c r="R43" i="7"/>
  <c r="E156" i="4"/>
  <c r="Q43" i="7"/>
  <c r="D156" i="4"/>
  <c r="F87" i="4"/>
  <c r="F93" i="4" s="1"/>
  <c r="F218" i="4"/>
  <c r="F219" i="4" s="1"/>
  <c r="E87" i="4"/>
  <c r="E93" i="4" s="1"/>
  <c r="E218" i="4"/>
  <c r="E219" i="4" s="1"/>
  <c r="D87" i="4"/>
  <c r="D93" i="4" s="1"/>
  <c r="D218" i="4"/>
  <c r="D219" i="4" s="1"/>
  <c r="G236" i="4"/>
  <c r="G238" i="4" s="1"/>
  <c r="H135" i="4"/>
  <c r="G98" i="3"/>
  <c r="F236" i="4"/>
  <c r="F238" i="4" s="1"/>
  <c r="F98" i="3"/>
  <c r="E236" i="4"/>
  <c r="E238" i="4" s="1"/>
  <c r="E98" i="3"/>
  <c r="D236" i="4"/>
  <c r="D238" i="4" s="1"/>
  <c r="D98" i="3"/>
  <c r="D110" i="4"/>
  <c r="D18" i="3"/>
  <c r="I84" i="5"/>
  <c r="D96" i="5" s="1"/>
  <c r="I83" i="5"/>
  <c r="G96" i="5" s="1"/>
  <c r="I82" i="5"/>
  <c r="F96" i="5" s="1"/>
  <c r="I81" i="5"/>
  <c r="E96" i="5" s="1"/>
  <c r="E35" i="5"/>
  <c r="H35" i="5"/>
  <c r="E28" i="5"/>
  <c r="H28" i="5"/>
  <c r="E27" i="5"/>
  <c r="H27" i="5"/>
  <c r="H26" i="5"/>
  <c r="E26" i="5"/>
  <c r="J29" i="5"/>
  <c r="J32" i="5"/>
  <c r="J30" i="5"/>
  <c r="J31" i="5"/>
  <c r="I31" i="5"/>
  <c r="I29" i="5"/>
  <c r="I30" i="5"/>
  <c r="I32" i="5"/>
  <c r="H25" i="5"/>
  <c r="E25" i="5"/>
  <c r="G58" i="5"/>
  <c r="F58" i="5"/>
  <c r="E58" i="5"/>
  <c r="D58" i="5"/>
  <c r="G45" i="5"/>
  <c r="G97" i="5"/>
  <c r="G98" i="5" s="1"/>
  <c r="F97" i="5"/>
  <c r="E97" i="5"/>
  <c r="E98" i="5" s="1"/>
  <c r="D97" i="5"/>
  <c r="D98" i="5" s="1"/>
  <c r="F45" i="5"/>
  <c r="D45" i="5"/>
  <c r="E45" i="5"/>
  <c r="I38" i="5"/>
  <c r="G2" i="3"/>
  <c r="G2" i="4"/>
  <c r="B2" i="7"/>
  <c r="D121" i="3"/>
  <c r="D122" i="3" s="1"/>
  <c r="Q12" i="7"/>
  <c r="K236" i="4"/>
  <c r="J236" i="4"/>
  <c r="I236" i="4"/>
  <c r="H236" i="4"/>
  <c r="E52" i="5"/>
  <c r="G104" i="5"/>
  <c r="F104" i="5"/>
  <c r="E18" i="5"/>
  <c r="D38" i="5" s="1"/>
  <c r="E104" i="5"/>
  <c r="D104" i="5"/>
  <c r="Q10" i="7"/>
  <c r="G52" i="5"/>
  <c r="F52" i="5"/>
  <c r="D114" i="3"/>
  <c r="E25" i="2"/>
  <c r="D25" i="2"/>
  <c r="L78" i="4"/>
  <c r="L237" i="4" s="1"/>
  <c r="L238" i="4" s="1"/>
  <c r="K78" i="4"/>
  <c r="J78" i="4"/>
  <c r="I78" i="4"/>
  <c r="H78" i="4"/>
  <c r="D52" i="5"/>
  <c r="I107" i="2"/>
  <c r="H123" i="2"/>
  <c r="H115" i="2"/>
  <c r="F123" i="2"/>
  <c r="F115" i="2"/>
  <c r="E123" i="2"/>
  <c r="E115" i="2"/>
  <c r="Q26" i="7"/>
  <c r="E45" i="2"/>
  <c r="L333" i="4"/>
  <c r="E27" i="2" s="1"/>
  <c r="D27" i="2"/>
  <c r="F101" i="5"/>
  <c r="D22" i="2"/>
  <c r="D101" i="5"/>
  <c r="E101" i="5"/>
  <c r="G49" i="5"/>
  <c r="D333" i="4"/>
  <c r="E22" i="2" s="1"/>
  <c r="F49" i="5"/>
  <c r="E49" i="5"/>
  <c r="G101" i="5"/>
  <c r="D49" i="5"/>
  <c r="D21" i="2"/>
  <c r="D48" i="5"/>
  <c r="D100" i="5"/>
  <c r="E48" i="5"/>
  <c r="F48" i="5"/>
  <c r="E100" i="5"/>
  <c r="F100" i="5"/>
  <c r="G100" i="5"/>
  <c r="D332" i="4"/>
  <c r="E21" i="2" s="1"/>
  <c r="G48" i="5"/>
  <c r="F99" i="5"/>
  <c r="E99" i="5"/>
  <c r="G99" i="5"/>
  <c r="F47" i="5"/>
  <c r="D20" i="2"/>
  <c r="D47" i="5"/>
  <c r="E47" i="5"/>
  <c r="G47" i="5"/>
  <c r="D99" i="5"/>
  <c r="D331" i="4"/>
  <c r="G264" i="4"/>
  <c r="G253" i="4"/>
  <c r="G254" i="4"/>
  <c r="G259" i="4" s="1"/>
  <c r="H274" i="4" s="1"/>
  <c r="H313" i="4" s="1"/>
  <c r="H208" i="4"/>
  <c r="H132" i="4" s="1"/>
  <c r="H210" i="4"/>
  <c r="H203" i="4"/>
  <c r="I182" i="4"/>
  <c r="H89" i="4"/>
  <c r="H179" i="4"/>
  <c r="G167" i="4"/>
  <c r="F167" i="4"/>
  <c r="E167" i="4"/>
  <c r="D167" i="4"/>
  <c r="G154" i="4"/>
  <c r="G138" i="4"/>
  <c r="F154" i="4"/>
  <c r="F138" i="4"/>
  <c r="E138" i="4"/>
  <c r="E154" i="4"/>
  <c r="D138" i="4"/>
  <c r="D154" i="4"/>
  <c r="G177" i="4"/>
  <c r="G151" i="4"/>
  <c r="G129" i="4"/>
  <c r="F129" i="4"/>
  <c r="F177" i="4"/>
  <c r="F151" i="4"/>
  <c r="E129" i="4"/>
  <c r="E177" i="4"/>
  <c r="E151" i="4"/>
  <c r="D129" i="4"/>
  <c r="D177" i="4"/>
  <c r="D151" i="4"/>
  <c r="G120" i="4"/>
  <c r="G227" i="4"/>
  <c r="G160" i="4"/>
  <c r="G233" i="4"/>
  <c r="G104" i="4"/>
  <c r="F233" i="4"/>
  <c r="F104" i="4"/>
  <c r="E233" i="4"/>
  <c r="E104" i="4"/>
  <c r="D233" i="4"/>
  <c r="D104" i="4"/>
  <c r="H100" i="4"/>
  <c r="I100" i="4" s="1"/>
  <c r="J100" i="4" s="1"/>
  <c r="K100" i="4" s="1"/>
  <c r="L100" i="4" s="1"/>
  <c r="G101" i="4"/>
  <c r="G105" i="4" s="1"/>
  <c r="G87" i="4"/>
  <c r="G93" i="4" s="1"/>
  <c r="G106" i="4" s="1"/>
  <c r="H194" i="4"/>
  <c r="H213" i="4" s="1"/>
  <c r="H63" i="4" s="1"/>
  <c r="G187" i="4"/>
  <c r="G188" i="4"/>
  <c r="G79" i="3" s="1"/>
  <c r="F188" i="4"/>
  <c r="F79" i="3" s="1"/>
  <c r="E188" i="4"/>
  <c r="E79" i="3" s="1"/>
  <c r="G59" i="4"/>
  <c r="F59" i="4"/>
  <c r="E59" i="4"/>
  <c r="D59" i="4"/>
  <c r="G25" i="4"/>
  <c r="G47" i="3" s="1"/>
  <c r="T38" i="7"/>
  <c r="S38" i="7"/>
  <c r="F25" i="4"/>
  <c r="F47" i="3" s="1"/>
  <c r="R38" i="7"/>
  <c r="E25" i="4"/>
  <c r="E47" i="3" s="1"/>
  <c r="Q38" i="7"/>
  <c r="D25" i="4"/>
  <c r="D47" i="3" s="1"/>
  <c r="H14" i="4"/>
  <c r="H23" i="4" s="1"/>
  <c r="T37" i="7"/>
  <c r="G23" i="4"/>
  <c r="G40" i="3" s="1"/>
  <c r="S37" i="7"/>
  <c r="R37" i="7"/>
  <c r="F23" i="4"/>
  <c r="F40" i="3" s="1"/>
  <c r="E23" i="4"/>
  <c r="E40" i="3" s="1"/>
  <c r="Q37" i="7"/>
  <c r="T36" i="7"/>
  <c r="H13" i="4"/>
  <c r="H22" i="4" s="1"/>
  <c r="S36" i="7"/>
  <c r="G22" i="4"/>
  <c r="G34" i="3" s="1"/>
  <c r="R36" i="7"/>
  <c r="F22" i="4"/>
  <c r="F34" i="3" s="1"/>
  <c r="Q36" i="7"/>
  <c r="E22" i="4"/>
  <c r="E34" i="3" s="1"/>
  <c r="T35" i="7"/>
  <c r="H12" i="4"/>
  <c r="H21" i="4" s="1"/>
  <c r="S35" i="7"/>
  <c r="G21" i="4"/>
  <c r="G28" i="3" s="1"/>
  <c r="R35" i="7"/>
  <c r="F21" i="4"/>
  <c r="F28" i="3" s="1"/>
  <c r="Q35" i="7"/>
  <c r="E21" i="4"/>
  <c r="E28" i="3" s="1"/>
  <c r="H11" i="4"/>
  <c r="H20" i="4" s="1"/>
  <c r="G16" i="4"/>
  <c r="G170" i="4" s="1"/>
  <c r="G82" i="3" s="1"/>
  <c r="T34" i="7"/>
  <c r="S34" i="7"/>
  <c r="F16" i="4"/>
  <c r="G20" i="4"/>
  <c r="G22" i="3" s="1"/>
  <c r="E16" i="4"/>
  <c r="R34" i="7"/>
  <c r="F20" i="4"/>
  <c r="F22" i="3" s="1"/>
  <c r="E20" i="4"/>
  <c r="E22" i="3" s="1"/>
  <c r="Q34" i="7"/>
  <c r="D16" i="4"/>
  <c r="D170" i="4" s="1"/>
  <c r="D82" i="3" s="1"/>
  <c r="D28" i="4"/>
  <c r="D192" i="4"/>
  <c r="D57" i="4"/>
  <c r="D9" i="4"/>
  <c r="D81" i="4"/>
  <c r="D4" i="3"/>
  <c r="D175" i="4"/>
  <c r="D163" i="4"/>
  <c r="D5" i="4"/>
  <c r="D5" i="3" s="1"/>
  <c r="E4" i="4"/>
  <c r="D6" i="4"/>
  <c r="H156" i="4" l="1"/>
  <c r="H240" i="4"/>
  <c r="D295" i="4"/>
  <c r="U43" i="7"/>
  <c r="E105" i="4"/>
  <c r="E106" i="4" s="1"/>
  <c r="F105" i="4"/>
  <c r="F106" i="4" s="1"/>
  <c r="D105" i="4"/>
  <c r="D106" i="4" s="1"/>
  <c r="F120" i="4"/>
  <c r="F160" i="4"/>
  <c r="F227" i="4"/>
  <c r="E227" i="4"/>
  <c r="E120" i="4"/>
  <c r="E160" i="4"/>
  <c r="D120" i="4"/>
  <c r="D160" i="4"/>
  <c r="D227" i="4"/>
  <c r="F35" i="5"/>
  <c r="G35" i="5"/>
  <c r="F28" i="5"/>
  <c r="G28" i="5"/>
  <c r="F27" i="5"/>
  <c r="G27" i="5"/>
  <c r="G26" i="5"/>
  <c r="F26" i="5"/>
  <c r="H29" i="5"/>
  <c r="E57" i="5" s="1"/>
  <c r="E59" i="5" s="1"/>
  <c r="E60" i="5" s="1"/>
  <c r="E61" i="5" s="1"/>
  <c r="H30" i="5"/>
  <c r="F57" i="5" s="1"/>
  <c r="F59" i="5" s="1"/>
  <c r="F60" i="5" s="1"/>
  <c r="H31" i="5"/>
  <c r="G57" i="5" s="1"/>
  <c r="G59" i="5" s="1"/>
  <c r="G60" i="5" s="1"/>
  <c r="H32" i="5"/>
  <c r="D57" i="5" s="1"/>
  <c r="D59" i="5" s="1"/>
  <c r="D60" i="5" s="1"/>
  <c r="G25" i="5"/>
  <c r="F25" i="5"/>
  <c r="H38" i="5"/>
  <c r="Q14" i="7" s="1"/>
  <c r="I115" i="2"/>
  <c r="I123" i="2"/>
  <c r="H154" i="4"/>
  <c r="H214" i="4"/>
  <c r="H64" i="4" s="1"/>
  <c r="H222" i="4"/>
  <c r="H223" i="4" s="1"/>
  <c r="J182" i="4"/>
  <c r="I89" i="4"/>
  <c r="H188" i="4"/>
  <c r="H61" i="4"/>
  <c r="G169" i="4"/>
  <c r="G168" i="4"/>
  <c r="F169" i="4"/>
  <c r="F168" i="4"/>
  <c r="E169" i="4"/>
  <c r="E168" i="4"/>
  <c r="D169" i="4"/>
  <c r="G180" i="4"/>
  <c r="G185" i="4"/>
  <c r="G71" i="3" s="1"/>
  <c r="G189" i="4"/>
  <c r="F180" i="4"/>
  <c r="F185" i="4"/>
  <c r="F71" i="3" s="1"/>
  <c r="F189" i="4"/>
  <c r="E180" i="4"/>
  <c r="E185" i="4"/>
  <c r="E71" i="3" s="1"/>
  <c r="E189" i="4"/>
  <c r="D185" i="4"/>
  <c r="D71" i="3" s="1"/>
  <c r="D189" i="4"/>
  <c r="G140" i="4"/>
  <c r="G150" i="4"/>
  <c r="G155" i="4" s="1"/>
  <c r="H127" i="4"/>
  <c r="H153" i="4" s="1"/>
  <c r="I14" i="4"/>
  <c r="I23" i="4" s="1"/>
  <c r="U37" i="7"/>
  <c r="I13" i="4"/>
  <c r="I22" i="4" s="1"/>
  <c r="U36" i="7"/>
  <c r="I12" i="4"/>
  <c r="I21" i="4" s="1"/>
  <c r="U35" i="7"/>
  <c r="H15" i="4"/>
  <c r="H16" i="4" s="1"/>
  <c r="U34" i="7"/>
  <c r="I11" i="4"/>
  <c r="I20" i="4" s="1"/>
  <c r="G186" i="4"/>
  <c r="G78" i="3" s="1"/>
  <c r="G29" i="4"/>
  <c r="G58" i="4"/>
  <c r="G60" i="4" s="1"/>
  <c r="G62" i="4" s="1"/>
  <c r="G66" i="4" s="1"/>
  <c r="T39" i="7"/>
  <c r="F186" i="4"/>
  <c r="F78" i="3" s="1"/>
  <c r="F29" i="4"/>
  <c r="G24" i="4"/>
  <c r="T31" i="7" s="1"/>
  <c r="F58" i="4"/>
  <c r="F60" i="4" s="1"/>
  <c r="F62" i="4" s="1"/>
  <c r="F66" i="4" s="1"/>
  <c r="S39" i="7"/>
  <c r="E29" i="4"/>
  <c r="E58" i="4"/>
  <c r="E60" i="4" s="1"/>
  <c r="E62" i="4" s="1"/>
  <c r="E66" i="4" s="1"/>
  <c r="R39" i="7"/>
  <c r="F24" i="4"/>
  <c r="S31" i="7" s="1"/>
  <c r="D187" i="4"/>
  <c r="D29" i="4"/>
  <c r="E24" i="4"/>
  <c r="R31" i="7" s="1"/>
  <c r="D58" i="4"/>
  <c r="D60" i="4" s="1"/>
  <c r="D62" i="4" s="1"/>
  <c r="D66" i="4" s="1"/>
  <c r="Q39" i="7"/>
  <c r="F4" i="4"/>
  <c r="E5" i="4"/>
  <c r="E5" i="3" s="1"/>
  <c r="E6" i="4"/>
  <c r="E6" i="3" s="1"/>
  <c r="E9" i="4"/>
  <c r="E28" i="4"/>
  <c r="E57" i="4"/>
  <c r="E81" i="4"/>
  <c r="E110" i="4"/>
  <c r="E163" i="4"/>
  <c r="E175" i="4"/>
  <c r="E192" i="4"/>
  <c r="E18" i="3"/>
  <c r="E232" i="4"/>
  <c r="E243" i="4"/>
  <c r="R30" i="7"/>
  <c r="R48" i="7" s="1"/>
  <c r="E4" i="3"/>
  <c r="F98" i="5"/>
  <c r="Q11" i="7"/>
  <c r="N6" i="7" s="1"/>
  <c r="D116" i="3"/>
  <c r="D117" i="3" s="1"/>
  <c r="D118" i="3" s="1"/>
  <c r="D123" i="3" s="1"/>
  <c r="K237" i="4"/>
  <c r="K238" i="4" s="1"/>
  <c r="L135" i="4"/>
  <c r="J237" i="4"/>
  <c r="J238" i="4" s="1"/>
  <c r="K135" i="4"/>
  <c r="I237" i="4"/>
  <c r="I238" i="4" s="1"/>
  <c r="J135" i="4"/>
  <c r="H237" i="4"/>
  <c r="H238" i="4" s="1"/>
  <c r="I135" i="4"/>
  <c r="E20" i="2"/>
  <c r="F170" i="4"/>
  <c r="F82" i="3" s="1"/>
  <c r="F187" i="4"/>
  <c r="E187" i="4"/>
  <c r="E170" i="4"/>
  <c r="E82" i="3" s="1"/>
  <c r="D6" i="3"/>
  <c r="Q30" i="7"/>
  <c r="Q48" i="7" s="1"/>
  <c r="D23" i="2" l="1"/>
  <c r="G50" i="5"/>
  <c r="E50" i="5"/>
  <c r="F102" i="5"/>
  <c r="F103" i="5" s="1"/>
  <c r="F105" i="5" s="1"/>
  <c r="E102" i="5"/>
  <c r="E103" i="5" s="1"/>
  <c r="E105" i="5" s="1"/>
  <c r="E106" i="5" s="1"/>
  <c r="D102" i="5"/>
  <c r="D103" i="5" s="1"/>
  <c r="D105" i="5" s="1"/>
  <c r="G102" i="5"/>
  <c r="G103" i="5" s="1"/>
  <c r="G105" i="5" s="1"/>
  <c r="F50" i="5"/>
  <c r="D50" i="5"/>
  <c r="D334" i="4"/>
  <c r="E116" i="2"/>
  <c r="E124" i="2" s="1"/>
  <c r="F116" i="2"/>
  <c r="F124" i="2" s="1"/>
  <c r="G116" i="2"/>
  <c r="G124" i="2" s="1"/>
  <c r="H116" i="2"/>
  <c r="H124" i="2" s="1"/>
  <c r="I116" i="2"/>
  <c r="I124" i="2" s="1"/>
  <c r="E117" i="2"/>
  <c r="E125" i="2" s="1"/>
  <c r="F117" i="2"/>
  <c r="G117" i="2"/>
  <c r="G125" i="2" s="1"/>
  <c r="H117" i="2"/>
  <c r="H125" i="2" s="1"/>
  <c r="I117" i="2"/>
  <c r="I125" i="2" s="1"/>
  <c r="E118" i="2"/>
  <c r="E126" i="2" s="1"/>
  <c r="F118" i="2"/>
  <c r="F126" i="2" s="1"/>
  <c r="G118" i="2"/>
  <c r="I118" i="2"/>
  <c r="I126" i="2" s="1"/>
  <c r="E119" i="2"/>
  <c r="E127" i="2" s="1"/>
  <c r="F119" i="2"/>
  <c r="F127" i="2" s="1"/>
  <c r="G119" i="2"/>
  <c r="G127" i="2" s="1"/>
  <c r="H119" i="2"/>
  <c r="H127" i="2" s="1"/>
  <c r="I119" i="2"/>
  <c r="I127" i="2" s="1"/>
  <c r="E120" i="2"/>
  <c r="E128" i="2" s="1"/>
  <c r="F120" i="2"/>
  <c r="F128" i="2" s="1"/>
  <c r="G120" i="2"/>
  <c r="G128" i="2" s="1"/>
  <c r="H120" i="2"/>
  <c r="H128" i="2" s="1"/>
  <c r="I120" i="2"/>
  <c r="I128" i="2" s="1"/>
  <c r="H118" i="2"/>
  <c r="H126" i="2" s="1"/>
  <c r="F140" i="4"/>
  <c r="F150" i="4"/>
  <c r="F155" i="4" s="1"/>
  <c r="E140" i="4"/>
  <c r="E150" i="4"/>
  <c r="E155" i="4" s="1"/>
  <c r="D140" i="4"/>
  <c r="D143" i="4" s="1"/>
  <c r="D150" i="4"/>
  <c r="D155" i="4" s="1"/>
  <c r="H119" i="4"/>
  <c r="H114" i="4"/>
  <c r="H187" i="4"/>
  <c r="H24" i="4"/>
  <c r="U31" i="7" s="1"/>
  <c r="G68" i="5"/>
  <c r="G43" i="2" s="1"/>
  <c r="S24" i="7" s="1"/>
  <c r="F61" i="5"/>
  <c r="G61" i="5"/>
  <c r="F68" i="5"/>
  <c r="D61" i="5"/>
  <c r="D68" i="5"/>
  <c r="D43" i="2" s="1"/>
  <c r="Q24" i="7" s="1"/>
  <c r="G30" i="5"/>
  <c r="G29" i="5"/>
  <c r="E44" i="5" s="1"/>
  <c r="E46" i="5" s="1"/>
  <c r="E51" i="5" s="1"/>
  <c r="E53" i="5" s="1"/>
  <c r="E54" i="5" s="1"/>
  <c r="G32" i="5"/>
  <c r="D44" i="5" s="1"/>
  <c r="D46" i="5" s="1"/>
  <c r="D51" i="5" s="1"/>
  <c r="D53" i="5" s="1"/>
  <c r="G31" i="5"/>
  <c r="G44" i="5" s="1"/>
  <c r="G46" i="5" s="1"/>
  <c r="G51" i="5" s="1"/>
  <c r="G53" i="5" s="1"/>
  <c r="F31" i="5"/>
  <c r="F32" i="5"/>
  <c r="F29" i="5"/>
  <c r="F30" i="5"/>
  <c r="G38" i="5"/>
  <c r="Q13" i="7" s="1"/>
  <c r="F38" i="5"/>
  <c r="K182" i="4"/>
  <c r="J89" i="4"/>
  <c r="H113" i="4"/>
  <c r="H255" i="4"/>
  <c r="G157" i="4"/>
  <c r="G159" i="4" s="1"/>
  <c r="T42" i="7"/>
  <c r="V37" i="7"/>
  <c r="J14" i="4"/>
  <c r="J23" i="4" s="1"/>
  <c r="V36" i="7"/>
  <c r="J13" i="4"/>
  <c r="J22" i="4" s="1"/>
  <c r="J12" i="4"/>
  <c r="J21" i="4" s="1"/>
  <c r="V35" i="7"/>
  <c r="H25" i="4"/>
  <c r="U38" i="7"/>
  <c r="I15" i="4"/>
  <c r="I16" i="4" s="1"/>
  <c r="I24" i="4" s="1"/>
  <c r="V31" i="7" s="1"/>
  <c r="J11" i="4"/>
  <c r="J20" i="4" s="1"/>
  <c r="V34" i="7"/>
  <c r="H178" i="4"/>
  <c r="H29" i="4"/>
  <c r="H18" i="4"/>
  <c r="H58" i="4"/>
  <c r="H164" i="4"/>
  <c r="H177" i="4"/>
  <c r="U39" i="7"/>
  <c r="H63" i="2"/>
  <c r="G43" i="4"/>
  <c r="G51" i="3" s="1"/>
  <c r="G44" i="4"/>
  <c r="G57" i="3" s="1"/>
  <c r="G45" i="4"/>
  <c r="G64" i="3" s="1"/>
  <c r="G46" i="4"/>
  <c r="G65" i="3" s="1"/>
  <c r="G66" i="3"/>
  <c r="G36" i="4"/>
  <c r="G68" i="4"/>
  <c r="G244" i="4"/>
  <c r="F43" i="4"/>
  <c r="F51" i="3" s="1"/>
  <c r="F44" i="4"/>
  <c r="F57" i="3" s="1"/>
  <c r="F45" i="4"/>
  <c r="F64" i="3" s="1"/>
  <c r="F46" i="4"/>
  <c r="F65" i="3" s="1"/>
  <c r="F36" i="4"/>
  <c r="F66" i="3"/>
  <c r="F68" i="4"/>
  <c r="F244" i="4"/>
  <c r="E43" i="4"/>
  <c r="E51" i="3" s="1"/>
  <c r="E44" i="4"/>
  <c r="E57" i="3" s="1"/>
  <c r="E45" i="4"/>
  <c r="E64" i="3" s="1"/>
  <c r="E46" i="4"/>
  <c r="E65" i="3" s="1"/>
  <c r="E66" i="3"/>
  <c r="E36" i="4"/>
  <c r="E68" i="4"/>
  <c r="E244" i="4"/>
  <c r="D43" i="4"/>
  <c r="D51" i="3" s="1"/>
  <c r="D44" i="4"/>
  <c r="D57" i="3" s="1"/>
  <c r="D45" i="4"/>
  <c r="D64" i="3" s="1"/>
  <c r="D46" i="4"/>
  <c r="D65" i="3" s="1"/>
  <c r="D36" i="4"/>
  <c r="D66" i="3"/>
  <c r="D68" i="4"/>
  <c r="D244" i="4"/>
  <c r="F57" i="4"/>
  <c r="F81" i="4"/>
  <c r="F163" i="4"/>
  <c r="F175" i="4"/>
  <c r="F192" i="4"/>
  <c r="F110" i="4"/>
  <c r="F232" i="4"/>
  <c r="F243" i="4"/>
  <c r="F4" i="3"/>
  <c r="G4" i="4"/>
  <c r="F5" i="4"/>
  <c r="F5" i="3" s="1"/>
  <c r="F6" i="4"/>
  <c r="F9" i="4"/>
  <c r="F28" i="4"/>
  <c r="F18" i="3"/>
  <c r="G69" i="5"/>
  <c r="G44" i="2" s="1"/>
  <c r="S25" i="7" s="1"/>
  <c r="F106" i="5"/>
  <c r="D135" i="2"/>
  <c r="D110" i="2"/>
  <c r="D8" i="2"/>
  <c r="Y43" i="7"/>
  <c r="L240" i="4"/>
  <c r="L156" i="4"/>
  <c r="X43" i="7"/>
  <c r="K240" i="4"/>
  <c r="K156" i="4"/>
  <c r="W43" i="7"/>
  <c r="J240" i="4"/>
  <c r="J156" i="4"/>
  <c r="V43" i="7"/>
  <c r="I240" i="4"/>
  <c r="I156" i="4"/>
  <c r="D69" i="5" l="1"/>
  <c r="D44" i="2" s="1"/>
  <c r="Q25" i="7" s="1"/>
  <c r="D106" i="5"/>
  <c r="F69" i="5"/>
  <c r="G106" i="5"/>
  <c r="E141" i="2"/>
  <c r="E149" i="2" s="1"/>
  <c r="H141" i="2"/>
  <c r="H149" i="2" s="1"/>
  <c r="G145" i="2"/>
  <c r="G153" i="2" s="1"/>
  <c r="H145" i="2"/>
  <c r="H153" i="2" s="1"/>
  <c r="G143" i="2"/>
  <c r="E144" i="2"/>
  <c r="E152" i="2" s="1"/>
  <c r="H144" i="2"/>
  <c r="H152" i="2" s="1"/>
  <c r="F145" i="2"/>
  <c r="F153" i="2" s="1"/>
  <c r="F141" i="2"/>
  <c r="F149" i="2" s="1"/>
  <c r="I141" i="2"/>
  <c r="I149" i="2" s="1"/>
  <c r="F142" i="2"/>
  <c r="H142" i="2"/>
  <c r="H150" i="2" s="1"/>
  <c r="F143" i="2"/>
  <c r="F151" i="2" s="1"/>
  <c r="I143" i="2"/>
  <c r="I151" i="2" s="1"/>
  <c r="G144" i="2"/>
  <c r="G152" i="2" s="1"/>
  <c r="I145" i="2"/>
  <c r="I153" i="2" s="1"/>
  <c r="G141" i="2"/>
  <c r="G149" i="2" s="1"/>
  <c r="E142" i="2"/>
  <c r="E150" i="2" s="1"/>
  <c r="G142" i="2"/>
  <c r="G150" i="2" s="1"/>
  <c r="E143" i="2"/>
  <c r="E151" i="2" s="1"/>
  <c r="H143" i="2"/>
  <c r="H151" i="2" s="1"/>
  <c r="F144" i="2"/>
  <c r="F152" i="2" s="1"/>
  <c r="I144" i="2"/>
  <c r="I152" i="2" s="1"/>
  <c r="E145" i="2"/>
  <c r="E153" i="2" s="1"/>
  <c r="I142" i="2"/>
  <c r="I150" i="2" s="1"/>
  <c r="E23" i="2"/>
  <c r="F40" i="2"/>
  <c r="D40" i="2"/>
  <c r="Q21" i="7" s="1"/>
  <c r="F125" i="2"/>
  <c r="G126" i="2"/>
  <c r="G40" i="2"/>
  <c r="S21" i="7" s="1"/>
  <c r="F157" i="4"/>
  <c r="F159" i="4" s="1"/>
  <c r="S42" i="7"/>
  <c r="E157" i="4"/>
  <c r="E159" i="4" s="1"/>
  <c r="R42" i="7"/>
  <c r="E142" i="4"/>
  <c r="E143" i="4" s="1"/>
  <c r="D144" i="4"/>
  <c r="D157" i="4"/>
  <c r="D159" i="4" s="1"/>
  <c r="Q42" i="7"/>
  <c r="F43" i="2"/>
  <c r="R24" i="7" s="1"/>
  <c r="E68" i="5"/>
  <c r="E43" i="2" s="1"/>
  <c r="D10" i="2"/>
  <c r="G132" i="2"/>
  <c r="F44" i="5"/>
  <c r="F46" i="5" s="1"/>
  <c r="F51" i="5" s="1"/>
  <c r="F53" i="5" s="1"/>
  <c r="D54" i="5"/>
  <c r="D67" i="5"/>
  <c r="D42" i="2" s="1"/>
  <c r="Q23" i="7" s="1"/>
  <c r="G54" i="5"/>
  <c r="F67" i="5"/>
  <c r="L182" i="4"/>
  <c r="L89" i="4" s="1"/>
  <c r="K89" i="4"/>
  <c r="E144" i="4"/>
  <c r="F142" i="4"/>
  <c r="F143" i="4" s="1"/>
  <c r="K14" i="4"/>
  <c r="K23" i="4" s="1"/>
  <c r="W37" i="7"/>
  <c r="K13" i="4"/>
  <c r="K22" i="4" s="1"/>
  <c r="W36" i="7"/>
  <c r="K12" i="4"/>
  <c r="K21" i="4" s="1"/>
  <c r="W35" i="7"/>
  <c r="I25" i="4"/>
  <c r="V38" i="7"/>
  <c r="J15" i="4"/>
  <c r="J16" i="4" s="1"/>
  <c r="J24" i="4" s="1"/>
  <c r="W31" i="7" s="1"/>
  <c r="W34" i="7"/>
  <c r="K11" i="4"/>
  <c r="K20" i="4" s="1"/>
  <c r="I29" i="4"/>
  <c r="I58" i="4"/>
  <c r="I164" i="4"/>
  <c r="I177" i="4"/>
  <c r="I178" i="4"/>
  <c r="V39" i="7"/>
  <c r="I63" i="2"/>
  <c r="H257" i="4"/>
  <c r="H207" i="4"/>
  <c r="H209" i="4" s="1"/>
  <c r="H186" i="4"/>
  <c r="H31" i="4"/>
  <c r="H44" i="4" s="1"/>
  <c r="H32" i="4"/>
  <c r="H45" i="4" s="1"/>
  <c r="H33" i="4"/>
  <c r="H46" i="4" s="1"/>
  <c r="H34" i="4"/>
  <c r="H30" i="4"/>
  <c r="H170" i="4"/>
  <c r="H84" i="4"/>
  <c r="H181" i="4"/>
  <c r="H185" i="4"/>
  <c r="H189" i="4"/>
  <c r="H123" i="4"/>
  <c r="G38" i="4"/>
  <c r="G39" i="4"/>
  <c r="G47" i="4"/>
  <c r="G70" i="4"/>
  <c r="G71" i="4"/>
  <c r="G248" i="4"/>
  <c r="G246" i="4"/>
  <c r="F38" i="4"/>
  <c r="F39" i="4"/>
  <c r="F47" i="4"/>
  <c r="F70" i="4"/>
  <c r="F71" i="4"/>
  <c r="F248" i="4"/>
  <c r="F246" i="4"/>
  <c r="E38" i="4"/>
  <c r="E39" i="4"/>
  <c r="E47" i="4"/>
  <c r="E70" i="4"/>
  <c r="E71" i="4"/>
  <c r="E248" i="4"/>
  <c r="E246" i="4"/>
  <c r="D38" i="4"/>
  <c r="D39" i="4"/>
  <c r="F24" i="1" s="1"/>
  <c r="G24" i="1" s="1"/>
  <c r="D47" i="4"/>
  <c r="D70" i="4"/>
  <c r="D71" i="4"/>
  <c r="F25" i="1" s="1"/>
  <c r="G25" i="1" s="1"/>
  <c r="D248" i="4"/>
  <c r="D246" i="4"/>
  <c r="H4" i="4"/>
  <c r="G5" i="4"/>
  <c r="G5" i="3" s="1"/>
  <c r="G6" i="4"/>
  <c r="G9" i="4"/>
  <c r="G28" i="4"/>
  <c r="G57" i="4"/>
  <c r="G81" i="4"/>
  <c r="G110" i="4"/>
  <c r="G163" i="4"/>
  <c r="G175" i="4"/>
  <c r="G192" i="4"/>
  <c r="G18" i="3"/>
  <c r="G232" i="4"/>
  <c r="G243" i="4"/>
  <c r="G4" i="3"/>
  <c r="D136" i="2"/>
  <c r="D143" i="2"/>
  <c r="D151" i="2"/>
  <c r="D134" i="2"/>
  <c r="D111" i="2"/>
  <c r="D118" i="2"/>
  <c r="D126" i="2"/>
  <c r="D109" i="2"/>
  <c r="D302" i="4"/>
  <c r="D264" i="4"/>
  <c r="F6" i="3"/>
  <c r="S30" i="7"/>
  <c r="S48" i="7" s="1"/>
  <c r="F44" i="2" l="1"/>
  <c r="R25" i="7" s="1"/>
  <c r="E69" i="5"/>
  <c r="E44" i="2" s="1"/>
  <c r="G151" i="2"/>
  <c r="G41" i="2"/>
  <c r="S22" i="7" s="1"/>
  <c r="F150" i="2"/>
  <c r="D41" i="2"/>
  <c r="Q22" i="7" s="1"/>
  <c r="F41" i="2"/>
  <c r="E40" i="2"/>
  <c r="R21" i="7"/>
  <c r="G6" i="3"/>
  <c r="T30" i="7"/>
  <c r="T48" i="7" s="1"/>
  <c r="H36" i="4"/>
  <c r="E32" i="2"/>
  <c r="D301" i="4"/>
  <c r="H132" i="2"/>
  <c r="G140" i="2"/>
  <c r="G148" i="2"/>
  <c r="F132" i="2"/>
  <c r="F54" i="5"/>
  <c r="G67" i="5"/>
  <c r="G42" i="2" s="1"/>
  <c r="F42" i="2"/>
  <c r="R23" i="7" s="1"/>
  <c r="E67" i="5"/>
  <c r="E42" i="2" s="1"/>
  <c r="F144" i="4"/>
  <c r="G142" i="4"/>
  <c r="G143" i="4" s="1"/>
  <c r="X37" i="7"/>
  <c r="L14" i="4"/>
  <c r="L13" i="4"/>
  <c r="X36" i="7"/>
  <c r="L12" i="4"/>
  <c r="Y35" i="7" s="1"/>
  <c r="L21" i="4"/>
  <c r="X35" i="7"/>
  <c r="J25" i="4"/>
  <c r="W38" i="7"/>
  <c r="K15" i="4"/>
  <c r="K16" i="4" s="1"/>
  <c r="K24" i="4" s="1"/>
  <c r="X31" i="7" s="1"/>
  <c r="L11" i="4"/>
  <c r="L20" i="4" s="1"/>
  <c r="X34" i="7"/>
  <c r="J29" i="4"/>
  <c r="J58" i="4"/>
  <c r="J164" i="4"/>
  <c r="J177" i="4"/>
  <c r="J178" i="4"/>
  <c r="W39" i="7"/>
  <c r="J63" i="2"/>
  <c r="I30" i="4"/>
  <c r="I31" i="4"/>
  <c r="I44" i="4" s="1"/>
  <c r="I32" i="4"/>
  <c r="I45" i="4" s="1"/>
  <c r="I33" i="4"/>
  <c r="I46" i="4" s="1"/>
  <c r="I34" i="4"/>
  <c r="I170" i="4"/>
  <c r="I84" i="4"/>
  <c r="I185" i="4"/>
  <c r="I123" i="4"/>
  <c r="I186" i="4"/>
  <c r="I207" i="4"/>
  <c r="I257" i="4"/>
  <c r="H99" i="4"/>
  <c r="I206" i="4" s="1"/>
  <c r="H217" i="4"/>
  <c r="H59" i="4"/>
  <c r="H60" i="4" s="1"/>
  <c r="H62" i="4" s="1"/>
  <c r="H165" i="4"/>
  <c r="H166" i="4"/>
  <c r="H43" i="4"/>
  <c r="I176" i="4"/>
  <c r="H88" i="4"/>
  <c r="H92" i="4" s="1"/>
  <c r="H256" i="4"/>
  <c r="H129" i="4"/>
  <c r="H151" i="4"/>
  <c r="G228" i="4"/>
  <c r="G48" i="4"/>
  <c r="G75" i="4"/>
  <c r="G220" i="4"/>
  <c r="G221" i="4" s="1"/>
  <c r="T45" i="7" s="1"/>
  <c r="G226" i="4"/>
  <c r="T41" i="7"/>
  <c r="G235" i="4"/>
  <c r="G239" i="4" s="1"/>
  <c r="T44" i="7"/>
  <c r="F228" i="4"/>
  <c r="F48" i="4"/>
  <c r="S32" i="7" s="1"/>
  <c r="F75" i="4"/>
  <c r="F220" i="4"/>
  <c r="F221" i="4" s="1"/>
  <c r="S45" i="7" s="1"/>
  <c r="S49" i="7" s="1"/>
  <c r="F226" i="4"/>
  <c r="S41" i="7"/>
  <c r="F235" i="4"/>
  <c r="F239" i="4" s="1"/>
  <c r="S44" i="7"/>
  <c r="E228" i="4"/>
  <c r="E48" i="4"/>
  <c r="R32" i="7" s="1"/>
  <c r="E75" i="4"/>
  <c r="E220" i="4"/>
  <c r="E221" i="4" s="1"/>
  <c r="R45" i="7" s="1"/>
  <c r="R49" i="7" s="1"/>
  <c r="E226" i="4"/>
  <c r="R41" i="7"/>
  <c r="E235" i="4"/>
  <c r="E239" i="4" s="1"/>
  <c r="R44" i="7"/>
  <c r="D228" i="4"/>
  <c r="D48" i="4"/>
  <c r="Q32" i="7" s="1"/>
  <c r="D75" i="4"/>
  <c r="D220" i="4"/>
  <c r="D221" i="4" s="1"/>
  <c r="Q45" i="7" s="1"/>
  <c r="Q49" i="7" s="1"/>
  <c r="D226" i="4"/>
  <c r="Q41" i="7"/>
  <c r="D235" i="4"/>
  <c r="D239" i="4" s="1"/>
  <c r="Q44" i="7"/>
  <c r="I4" i="4"/>
  <c r="H57" i="4"/>
  <c r="H81" i="4"/>
  <c r="H163" i="4"/>
  <c r="H175" i="4"/>
  <c r="H192" i="4"/>
  <c r="H110" i="4"/>
  <c r="H232" i="4"/>
  <c r="H243" i="4"/>
  <c r="H251" i="4"/>
  <c r="H262" i="4"/>
  <c r="H263" i="4"/>
  <c r="H61" i="2"/>
  <c r="H4" i="3"/>
  <c r="H300" i="4"/>
  <c r="H5" i="4"/>
  <c r="H5" i="3" s="1"/>
  <c r="H6" i="4"/>
  <c r="H9" i="4"/>
  <c r="H28" i="4"/>
  <c r="H18" i="3"/>
  <c r="D137" i="2"/>
  <c r="D144" i="2"/>
  <c r="D152" i="2"/>
  <c r="D142" i="2"/>
  <c r="D150" i="2"/>
  <c r="D133" i="2"/>
  <c r="D112" i="2"/>
  <c r="D119" i="2"/>
  <c r="D127" i="2"/>
  <c r="D117" i="2"/>
  <c r="D125" i="2"/>
  <c r="D108" i="2"/>
  <c r="E41" i="2" l="1"/>
  <c r="R22" i="7"/>
  <c r="T32" i="7"/>
  <c r="B12" i="7"/>
  <c r="H47" i="4"/>
  <c r="H38" i="4"/>
  <c r="I36" i="4"/>
  <c r="Y36" i="7"/>
  <c r="L22" i="4"/>
  <c r="Y37" i="7"/>
  <c r="L23" i="4"/>
  <c r="I132" i="2"/>
  <c r="H140" i="2"/>
  <c r="H148" i="2"/>
  <c r="F140" i="2"/>
  <c r="F148" i="2"/>
  <c r="E132" i="2"/>
  <c r="G46" i="2"/>
  <c r="S23" i="7"/>
  <c r="G144" i="4"/>
  <c r="H142" i="4"/>
  <c r="K25" i="4"/>
  <c r="X38" i="7"/>
  <c r="L15" i="4"/>
  <c r="L16" i="4" s="1"/>
  <c r="L24" i="4" s="1"/>
  <c r="Y31" i="7" s="1"/>
  <c r="Y34" i="7"/>
  <c r="K29" i="4"/>
  <c r="K58" i="4"/>
  <c r="K164" i="4"/>
  <c r="K177" i="4"/>
  <c r="K178" i="4"/>
  <c r="X39" i="7"/>
  <c r="K63" i="2"/>
  <c r="J30" i="4"/>
  <c r="J31" i="4"/>
  <c r="J44" i="4" s="1"/>
  <c r="J32" i="4"/>
  <c r="J45" i="4" s="1"/>
  <c r="J33" i="4"/>
  <c r="J46" i="4" s="1"/>
  <c r="J34" i="4"/>
  <c r="J170" i="4"/>
  <c r="J84" i="4"/>
  <c r="J185" i="4"/>
  <c r="J123" i="4"/>
  <c r="J186" i="4"/>
  <c r="J207" i="4"/>
  <c r="J257" i="4"/>
  <c r="I43" i="4"/>
  <c r="I59" i="4"/>
  <c r="I60" i="4" s="1"/>
  <c r="I165" i="4"/>
  <c r="I166" i="4"/>
  <c r="I256" i="4"/>
  <c r="I151" i="4"/>
  <c r="I208" i="4"/>
  <c r="I210" i="4"/>
  <c r="H252" i="4"/>
  <c r="H66" i="4"/>
  <c r="H167" i="4"/>
  <c r="H171" i="4"/>
  <c r="H85" i="4"/>
  <c r="H172" i="4"/>
  <c r="H96" i="4"/>
  <c r="I179" i="4"/>
  <c r="I181" i="4" s="1"/>
  <c r="T52" i="7"/>
  <c r="T51" i="7"/>
  <c r="T50" i="7"/>
  <c r="T49" i="7"/>
  <c r="J4" i="4"/>
  <c r="I6" i="4"/>
  <c r="I9" i="4"/>
  <c r="I28" i="4"/>
  <c r="I57" i="4"/>
  <c r="I81" i="4"/>
  <c r="I110" i="4"/>
  <c r="I163" i="4"/>
  <c r="I175" i="4"/>
  <c r="I192" i="4"/>
  <c r="I18" i="3"/>
  <c r="I232" i="4"/>
  <c r="I243" i="4"/>
  <c r="I251" i="4"/>
  <c r="I262" i="4"/>
  <c r="I263" i="4"/>
  <c r="I61" i="2"/>
  <c r="I4" i="3"/>
  <c r="I300" i="4"/>
  <c r="I5" i="4"/>
  <c r="I5" i="3" s="1"/>
  <c r="H264" i="4"/>
  <c r="I264" i="4"/>
  <c r="H301" i="4"/>
  <c r="D145" i="2"/>
  <c r="D153" i="2"/>
  <c r="D141" i="2"/>
  <c r="D149" i="2"/>
  <c r="D120" i="2"/>
  <c r="D128" i="2"/>
  <c r="D116" i="2"/>
  <c r="D124" i="2"/>
  <c r="H6" i="3"/>
  <c r="U30" i="7"/>
  <c r="U48" i="7" s="1"/>
  <c r="H41" i="4" l="1"/>
  <c r="H48" i="4"/>
  <c r="U32" i="7" s="1"/>
  <c r="H75" i="4"/>
  <c r="H220" i="4"/>
  <c r="H226" i="4"/>
  <c r="U41" i="7"/>
  <c r="H55" i="2"/>
  <c r="H68" i="2"/>
  <c r="H228" i="4"/>
  <c r="H93" i="2" s="1"/>
  <c r="H40" i="4"/>
  <c r="I38" i="4"/>
  <c r="I47" i="4"/>
  <c r="I132" i="4"/>
  <c r="I154" i="4" s="1"/>
  <c r="I209" i="4"/>
  <c r="J36" i="4"/>
  <c r="I140" i="2"/>
  <c r="I148" i="2"/>
  <c r="E140" i="2"/>
  <c r="E148" i="2"/>
  <c r="S27" i="7"/>
  <c r="P27" i="7" s="1"/>
  <c r="Q17" i="7"/>
  <c r="L25" i="4"/>
  <c r="Y38" i="7"/>
  <c r="L29" i="4"/>
  <c r="L58" i="4"/>
  <c r="L164" i="4"/>
  <c r="L177" i="4"/>
  <c r="L178" i="4"/>
  <c r="Y39" i="7"/>
  <c r="L63" i="2"/>
  <c r="K30" i="4"/>
  <c r="K31" i="4"/>
  <c r="K44" i="4" s="1"/>
  <c r="K32" i="4"/>
  <c r="K45" i="4" s="1"/>
  <c r="K33" i="4"/>
  <c r="K46" i="4" s="1"/>
  <c r="K34" i="4"/>
  <c r="K170" i="4"/>
  <c r="K84" i="4"/>
  <c r="K185" i="4"/>
  <c r="K123" i="4"/>
  <c r="K186" i="4"/>
  <c r="K207" i="4"/>
  <c r="K257" i="4"/>
  <c r="J43" i="4"/>
  <c r="J59" i="4"/>
  <c r="J60" i="4" s="1"/>
  <c r="J165" i="4"/>
  <c r="J166" i="4"/>
  <c r="J151" i="4"/>
  <c r="J256" i="4"/>
  <c r="I167" i="4"/>
  <c r="I168" i="4" s="1"/>
  <c r="I171" i="4"/>
  <c r="I85" i="4"/>
  <c r="I172" i="4"/>
  <c r="I96" i="4"/>
  <c r="H253" i="4"/>
  <c r="H254" i="4" s="1"/>
  <c r="H67" i="4"/>
  <c r="H68" i="4" s="1"/>
  <c r="H112" i="4"/>
  <c r="H244" i="4"/>
  <c r="H169" i="4"/>
  <c r="H168" i="4"/>
  <c r="I189" i="4"/>
  <c r="I187" i="4"/>
  <c r="I188" i="4"/>
  <c r="I61" i="4"/>
  <c r="I88" i="4"/>
  <c r="I92" i="4" s="1"/>
  <c r="J176" i="4"/>
  <c r="K4" i="4"/>
  <c r="J5" i="4"/>
  <c r="J5" i="3" s="1"/>
  <c r="J57" i="4"/>
  <c r="J81" i="4"/>
  <c r="J163" i="4"/>
  <c r="J175" i="4"/>
  <c r="J192" i="4"/>
  <c r="J110" i="4"/>
  <c r="J232" i="4"/>
  <c r="J243" i="4"/>
  <c r="J251" i="4"/>
  <c r="J262" i="4"/>
  <c r="J263" i="4"/>
  <c r="J264" i="4" s="1"/>
  <c r="J61" i="2"/>
  <c r="J4" i="3"/>
  <c r="J300" i="4"/>
  <c r="J6" i="4"/>
  <c r="J9" i="4"/>
  <c r="J28" i="4"/>
  <c r="J18" i="3"/>
  <c r="I301" i="4"/>
  <c r="H280" i="4"/>
  <c r="H319" i="4" s="1"/>
  <c r="H302" i="4"/>
  <c r="I302" i="4"/>
  <c r="I280" i="4"/>
  <c r="I319" i="4" s="1"/>
  <c r="I6" i="3"/>
  <c r="V30" i="7"/>
  <c r="V48" i="7" s="1"/>
  <c r="I228" i="4" l="1"/>
  <c r="I93" i="2" s="1"/>
  <c r="I48" i="4"/>
  <c r="V32" i="7" s="1"/>
  <c r="I75" i="4"/>
  <c r="I220" i="4"/>
  <c r="V41" i="7"/>
  <c r="I68" i="2"/>
  <c r="I217" i="4"/>
  <c r="I99" i="4"/>
  <c r="J206" i="4" s="1"/>
  <c r="K36" i="4"/>
  <c r="J38" i="4"/>
  <c r="J47" i="4"/>
  <c r="L30" i="4"/>
  <c r="L31" i="4"/>
  <c r="L44" i="4" s="1"/>
  <c r="L32" i="4"/>
  <c r="L45" i="4" s="1"/>
  <c r="L33" i="4"/>
  <c r="L46" i="4" s="1"/>
  <c r="L34" i="4"/>
  <c r="L170" i="4"/>
  <c r="L84" i="4"/>
  <c r="L185" i="4"/>
  <c r="L123" i="4"/>
  <c r="L186" i="4"/>
  <c r="L207" i="4"/>
  <c r="L257" i="4"/>
  <c r="K43" i="4"/>
  <c r="K59" i="4"/>
  <c r="K60" i="4" s="1"/>
  <c r="K165" i="4"/>
  <c r="K166" i="4"/>
  <c r="K256" i="4"/>
  <c r="K151" i="4"/>
  <c r="J167" i="4"/>
  <c r="J168" i="4" s="1"/>
  <c r="J171" i="4"/>
  <c r="J85" i="4"/>
  <c r="J172" i="4"/>
  <c r="J96" i="4"/>
  <c r="I169" i="4"/>
  <c r="H116" i="4"/>
  <c r="H245" i="4"/>
  <c r="H246" i="4" s="1"/>
  <c r="H69" i="4"/>
  <c r="I117" i="4"/>
  <c r="I258" i="4"/>
  <c r="H258" i="4"/>
  <c r="H259" i="4" s="1"/>
  <c r="H117" i="4"/>
  <c r="I62" i="4"/>
  <c r="I113" i="4"/>
  <c r="I255" i="4"/>
  <c r="J179" i="4"/>
  <c r="J181" i="4" s="1"/>
  <c r="K28" i="4"/>
  <c r="K57" i="4"/>
  <c r="K81" i="4"/>
  <c r="K18" i="3"/>
  <c r="K110" i="4"/>
  <c r="K163" i="4"/>
  <c r="K175" i="4"/>
  <c r="K192" i="4"/>
  <c r="K232" i="4"/>
  <c r="K243" i="4"/>
  <c r="K251" i="4"/>
  <c r="K262" i="4"/>
  <c r="K263" i="4"/>
  <c r="K61" i="2"/>
  <c r="K4" i="3"/>
  <c r="K300" i="4"/>
  <c r="L4" i="4"/>
  <c r="K5" i="4"/>
  <c r="K5" i="3" s="1"/>
  <c r="K6" i="4"/>
  <c r="K9" i="4"/>
  <c r="K264" i="4"/>
  <c r="J301" i="4"/>
  <c r="J302" i="4"/>
  <c r="J280" i="4"/>
  <c r="J319" i="4" s="1"/>
  <c r="J6" i="3"/>
  <c r="W30" i="7"/>
  <c r="W48" i="7" s="1"/>
  <c r="J208" i="4" l="1"/>
  <c r="J210" i="4"/>
  <c r="H103" i="4"/>
  <c r="H234" i="4" s="1"/>
  <c r="H70" i="4"/>
  <c r="H102" i="4" s="1"/>
  <c r="K38" i="4"/>
  <c r="K47" i="4"/>
  <c r="L36" i="4"/>
  <c r="J228" i="4"/>
  <c r="J93" i="2" s="1"/>
  <c r="J48" i="4"/>
  <c r="W32" i="7" s="1"/>
  <c r="J75" i="4"/>
  <c r="J220" i="4"/>
  <c r="W41" i="7"/>
  <c r="J68" i="2"/>
  <c r="L43" i="4"/>
  <c r="L59" i="4"/>
  <c r="L60" i="4" s="1"/>
  <c r="L165" i="4"/>
  <c r="L166" i="4"/>
  <c r="L256" i="4"/>
  <c r="L151" i="4"/>
  <c r="K167" i="4"/>
  <c r="K168" i="4" s="1"/>
  <c r="K171" i="4"/>
  <c r="K85" i="4"/>
  <c r="K172" i="4"/>
  <c r="K96" i="4"/>
  <c r="J169" i="4"/>
  <c r="J117" i="4"/>
  <c r="J258" i="4"/>
  <c r="H118" i="4"/>
  <c r="H247" i="4"/>
  <c r="H248" i="4" s="1"/>
  <c r="H73" i="2"/>
  <c r="H266" i="4"/>
  <c r="I252" i="4"/>
  <c r="J189" i="4"/>
  <c r="J187" i="4"/>
  <c r="J188" i="4"/>
  <c r="J61" i="4"/>
  <c r="J88" i="4"/>
  <c r="J92" i="4" s="1"/>
  <c r="K176" i="4"/>
  <c r="K301" i="4"/>
  <c r="L28" i="4"/>
  <c r="L5" i="4"/>
  <c r="L5" i="3" s="1"/>
  <c r="L6" i="4"/>
  <c r="L9" i="4"/>
  <c r="L57" i="4"/>
  <c r="L81" i="4"/>
  <c r="L163" i="4"/>
  <c r="L175" i="4"/>
  <c r="L192" i="4"/>
  <c r="L18" i="3"/>
  <c r="L110" i="4"/>
  <c r="L232" i="4"/>
  <c r="L243" i="4"/>
  <c r="L251" i="4"/>
  <c r="L262" i="4"/>
  <c r="L263" i="4"/>
  <c r="L61" i="2"/>
  <c r="L4" i="3"/>
  <c r="L300" i="4"/>
  <c r="K302" i="4"/>
  <c r="K280" i="4"/>
  <c r="K319" i="4" s="1"/>
  <c r="K6" i="3"/>
  <c r="X30" i="7"/>
  <c r="X48" i="7" s="1"/>
  <c r="J132" i="4" l="1"/>
  <c r="J154" i="4" s="1"/>
  <c r="J209" i="4"/>
  <c r="K220" i="4"/>
  <c r="X41" i="7"/>
  <c r="H76" i="4"/>
  <c r="H235" i="4"/>
  <c r="H239" i="4" s="1"/>
  <c r="U44" i="7"/>
  <c r="K48" i="4"/>
  <c r="X32" i="7" s="1"/>
  <c r="K75" i="4"/>
  <c r="K228" i="4"/>
  <c r="K93" i="2" s="1"/>
  <c r="K68" i="2"/>
  <c r="L38" i="4"/>
  <c r="L47" i="4"/>
  <c r="L167" i="4"/>
  <c r="L171" i="4"/>
  <c r="L85" i="4"/>
  <c r="L172" i="4"/>
  <c r="L96" i="4"/>
  <c r="K169" i="4"/>
  <c r="K258" i="4"/>
  <c r="K117" i="4"/>
  <c r="H160" i="4"/>
  <c r="H227" i="4"/>
  <c r="H88" i="2" s="1"/>
  <c r="H120" i="4"/>
  <c r="H104" i="4"/>
  <c r="H233" i="4"/>
  <c r="H269" i="4"/>
  <c r="H304" i="4"/>
  <c r="H308" i="4" s="1"/>
  <c r="I253" i="4"/>
  <c r="I254" i="4" s="1"/>
  <c r="I259" i="4" s="1"/>
  <c r="J62" i="4"/>
  <c r="J113" i="4"/>
  <c r="J255" i="4"/>
  <c r="K179" i="4"/>
  <c r="K181" i="4" s="1"/>
  <c r="L6" i="3"/>
  <c r="Y30" i="7"/>
  <c r="Y48" i="7" s="1"/>
  <c r="L301" i="4"/>
  <c r="L264" i="4"/>
  <c r="J217" i="4" l="1"/>
  <c r="J99" i="4"/>
  <c r="K206" i="4" s="1"/>
  <c r="K208" i="4" s="1"/>
  <c r="K210" i="4"/>
  <c r="J55" i="2"/>
  <c r="H78" i="2"/>
  <c r="L228" i="4"/>
  <c r="L93" i="2" s="1"/>
  <c r="L48" i="4"/>
  <c r="Y32" i="7" s="1"/>
  <c r="L75" i="4"/>
  <c r="L220" i="4"/>
  <c r="Y41" i="7"/>
  <c r="I55" i="2"/>
  <c r="L68" i="2"/>
  <c r="L305" i="4"/>
  <c r="L169" i="4"/>
  <c r="L168" i="4"/>
  <c r="H150" i="4"/>
  <c r="H155" i="4" s="1"/>
  <c r="H195" i="4"/>
  <c r="H197" i="4" s="1"/>
  <c r="H201" i="4" s="1"/>
  <c r="H271" i="4"/>
  <c r="H275" i="4"/>
  <c r="H310" i="4"/>
  <c r="H314" i="4"/>
  <c r="I266" i="4"/>
  <c r="I73" i="2"/>
  <c r="J252" i="4"/>
  <c r="K189" i="4"/>
  <c r="K187" i="4"/>
  <c r="K188" i="4"/>
  <c r="K61" i="4"/>
  <c r="K88" i="4"/>
  <c r="K92" i="4" s="1"/>
  <c r="L176" i="4"/>
  <c r="L280" i="4"/>
  <c r="L319" i="4" s="1"/>
  <c r="L302" i="4"/>
  <c r="F310" i="4" s="1"/>
  <c r="K132" i="4" l="1"/>
  <c r="K154" i="4" s="1"/>
  <c r="K209" i="4"/>
  <c r="L117" i="4"/>
  <c r="L258" i="4"/>
  <c r="L309" i="4"/>
  <c r="L315" i="4" s="1"/>
  <c r="L321" i="4" s="1"/>
  <c r="L326" i="4" s="1"/>
  <c r="H157" i="4"/>
  <c r="U42" i="7"/>
  <c r="H202" i="4"/>
  <c r="H133" i="4"/>
  <c r="H134" i="4"/>
  <c r="H277" i="4"/>
  <c r="H281" i="4"/>
  <c r="H316" i="4"/>
  <c r="H320" i="4"/>
  <c r="I269" i="4"/>
  <c r="I304" i="4"/>
  <c r="I308" i="4" s="1"/>
  <c r="J253" i="4"/>
  <c r="J254" i="4" s="1"/>
  <c r="J259" i="4" s="1"/>
  <c r="K62" i="4"/>
  <c r="K113" i="4"/>
  <c r="K255" i="4"/>
  <c r="L179" i="4"/>
  <c r="L181" i="4" s="1"/>
  <c r="L88" i="4" s="1"/>
  <c r="L92" i="4" s="1"/>
  <c r="K99" i="4" l="1"/>
  <c r="L206" i="4" s="1"/>
  <c r="K217" i="4"/>
  <c r="H159" i="4"/>
  <c r="H98" i="4"/>
  <c r="H216" i="4"/>
  <c r="H283" i="4"/>
  <c r="H322" i="4"/>
  <c r="I271" i="4"/>
  <c r="I275" i="4"/>
  <c r="I314" i="4"/>
  <c r="I310" i="4"/>
  <c r="J266" i="4"/>
  <c r="J73" i="2"/>
  <c r="K252" i="4"/>
  <c r="L189" i="4"/>
  <c r="L187" i="4"/>
  <c r="L188" i="4"/>
  <c r="L61" i="4"/>
  <c r="E18" i="2"/>
  <c r="H138" i="4"/>
  <c r="H140" i="4" s="1"/>
  <c r="H143" i="4" s="1"/>
  <c r="L208" i="4" l="1"/>
  <c r="L132" i="4" s="1"/>
  <c r="L154" i="4" s="1"/>
  <c r="L210" i="4"/>
  <c r="L209" i="4"/>
  <c r="H101" i="4"/>
  <c r="H105" i="4" s="1"/>
  <c r="I200" i="4"/>
  <c r="I277" i="4"/>
  <c r="I281" i="4"/>
  <c r="I316" i="4"/>
  <c r="I320" i="4"/>
  <c r="J269" i="4"/>
  <c r="J304" i="4"/>
  <c r="J308" i="4" s="1"/>
  <c r="K253" i="4"/>
  <c r="K254" i="4" s="1"/>
  <c r="K259" i="4" s="1"/>
  <c r="L62" i="4"/>
  <c r="L113" i="4"/>
  <c r="L255" i="4"/>
  <c r="I142" i="4"/>
  <c r="H83" i="4"/>
  <c r="H144" i="4" s="1"/>
  <c r="L217" i="4" l="1"/>
  <c r="L99" i="4"/>
  <c r="I203" i="4"/>
  <c r="I283" i="4"/>
  <c r="I322" i="4"/>
  <c r="J271" i="4"/>
  <c r="J275" i="4"/>
  <c r="J310" i="4"/>
  <c r="J314" i="4"/>
  <c r="K266" i="4"/>
  <c r="K73" i="2"/>
  <c r="L252" i="4"/>
  <c r="H87" i="4"/>
  <c r="H93" i="4" s="1"/>
  <c r="H106" i="4" s="1"/>
  <c r="I194" i="4"/>
  <c r="I213" i="4" s="1"/>
  <c r="I63" i="4" s="1"/>
  <c r="H218" i="4"/>
  <c r="H219" i="4" s="1"/>
  <c r="H221" i="4" s="1"/>
  <c r="I214" i="4" l="1"/>
  <c r="I64" i="4" s="1"/>
  <c r="I222" i="4"/>
  <c r="I223" i="4" s="1"/>
  <c r="J277" i="4"/>
  <c r="J281" i="4"/>
  <c r="J316" i="4"/>
  <c r="J320" i="4"/>
  <c r="K269" i="4"/>
  <c r="K304" i="4"/>
  <c r="K308" i="4" s="1"/>
  <c r="L253" i="4"/>
  <c r="L254" i="4" s="1"/>
  <c r="L259" i="4" s="1"/>
  <c r="I127" i="4"/>
  <c r="H83" i="2"/>
  <c r="U45" i="7"/>
  <c r="I226" i="4" l="1"/>
  <c r="I114" i="4"/>
  <c r="J283" i="4"/>
  <c r="J322" i="4"/>
  <c r="K271" i="4"/>
  <c r="K275" i="4"/>
  <c r="K310" i="4"/>
  <c r="K314" i="4"/>
  <c r="L266" i="4"/>
  <c r="L73" i="2"/>
  <c r="I129" i="4"/>
  <c r="I153" i="4"/>
  <c r="I119" i="4"/>
  <c r="I66" i="4"/>
  <c r="K277" i="4" l="1"/>
  <c r="K281" i="4"/>
  <c r="K316" i="4"/>
  <c r="K320" i="4"/>
  <c r="L269" i="4"/>
  <c r="L270" i="4"/>
  <c r="L304" i="4"/>
  <c r="I67" i="4"/>
  <c r="I68" i="4" s="1"/>
  <c r="I112" i="4"/>
  <c r="I244" i="4"/>
  <c r="K283" i="4" l="1"/>
  <c r="K322" i="4"/>
  <c r="L271" i="4"/>
  <c r="L275" i="4"/>
  <c r="L276" i="4"/>
  <c r="L282" i="4" s="1"/>
  <c r="L287" i="4" s="1"/>
  <c r="L296" i="4"/>
  <c r="D32" i="2" s="1"/>
  <c r="L335" i="4"/>
  <c r="E33" i="2" s="1"/>
  <c r="L308" i="4"/>
  <c r="I116" i="4"/>
  <c r="I245" i="4"/>
  <c r="I246" i="4" s="1"/>
  <c r="I69" i="4"/>
  <c r="I103" i="4" s="1"/>
  <c r="I70" i="4"/>
  <c r="L277" i="4" l="1"/>
  <c r="D287" i="4" s="1"/>
  <c r="L281" i="4"/>
  <c r="D18" i="2"/>
  <c r="L310" i="4"/>
  <c r="L314" i="4"/>
  <c r="I118" i="4"/>
  <c r="I247" i="4"/>
  <c r="I248" i="4" s="1"/>
  <c r="I234" i="4"/>
  <c r="I102" i="4"/>
  <c r="I76" i="4"/>
  <c r="I78" i="2" s="1"/>
  <c r="I235" i="4"/>
  <c r="I239" i="4" s="1"/>
  <c r="V44" i="7"/>
  <c r="L286" i="4" l="1"/>
  <c r="L283" i="4"/>
  <c r="D286" i="4" s="1"/>
  <c r="L316" i="4"/>
  <c r="D326" i="4" s="1"/>
  <c r="L320" i="4"/>
  <c r="I160" i="4"/>
  <c r="I227" i="4"/>
  <c r="I88" i="2" s="1"/>
  <c r="I120" i="4"/>
  <c r="I233" i="4"/>
  <c r="I104" i="4"/>
  <c r="D17" i="2" l="1"/>
  <c r="D19" i="2" s="1"/>
  <c r="D24" i="2" s="1"/>
  <c r="D26" i="2" s="1"/>
  <c r="L288" i="4"/>
  <c r="D291" i="4"/>
  <c r="L325" i="4"/>
  <c r="L322" i="4"/>
  <c r="D325" i="4" s="1"/>
  <c r="F28" i="1" s="1"/>
  <c r="G28" i="1" s="1"/>
  <c r="I150" i="4"/>
  <c r="I155" i="4" s="1"/>
  <c r="I195" i="4"/>
  <c r="I197" i="4" s="1"/>
  <c r="I201" i="4" s="1"/>
  <c r="K287" i="4" l="1"/>
  <c r="D31" i="2" s="1"/>
  <c r="K286" i="4"/>
  <c r="D28" i="2"/>
  <c r="Q15" i="7"/>
  <c r="D296" i="4"/>
  <c r="L291" i="4" s="1"/>
  <c r="L293" i="4" s="1"/>
  <c r="D107" i="2"/>
  <c r="L327" i="4"/>
  <c r="K325" i="4" s="1"/>
  <c r="E17" i="2"/>
  <c r="E19" i="2" s="1"/>
  <c r="E24" i="2" s="1"/>
  <c r="E26" i="2" s="1"/>
  <c r="I157" i="4"/>
  <c r="V42" i="7"/>
  <c r="I202" i="4"/>
  <c r="I133" i="4"/>
  <c r="I134" i="4"/>
  <c r="K288" i="4" l="1"/>
  <c r="L295" i="4"/>
  <c r="F55" i="2" s="1"/>
  <c r="D55" i="2"/>
  <c r="K326" i="4"/>
  <c r="D330" i="4"/>
  <c r="E28" i="2"/>
  <c r="Q16" i="7"/>
  <c r="B14" i="7" s="1"/>
  <c r="I159" i="4"/>
  <c r="I98" i="4"/>
  <c r="I216" i="4"/>
  <c r="I138" i="4"/>
  <c r="I140" i="4" s="1"/>
  <c r="I143" i="4" s="1"/>
  <c r="K327" i="4" l="1"/>
  <c r="E31" i="2"/>
  <c r="D335" i="4"/>
  <c r="L330" i="4" s="1"/>
  <c r="L332" i="4" s="1"/>
  <c r="D132" i="2"/>
  <c r="I101" i="4"/>
  <c r="I105" i="4" s="1"/>
  <c r="J200" i="4"/>
  <c r="J142" i="4"/>
  <c r="I83" i="4"/>
  <c r="I144" i="4" s="1"/>
  <c r="L334" i="4" l="1"/>
  <c r="G55" i="2" s="1"/>
  <c r="E55" i="2"/>
  <c r="J203" i="4"/>
  <c r="I87" i="4"/>
  <c r="I93" i="4" s="1"/>
  <c r="I106" i="4" s="1"/>
  <c r="J194" i="4"/>
  <c r="J213" i="4" s="1"/>
  <c r="J63" i="4" s="1"/>
  <c r="I218" i="4"/>
  <c r="I219" i="4" s="1"/>
  <c r="I221" i="4" s="1"/>
  <c r="J214" i="4" l="1"/>
  <c r="J64" i="4" s="1"/>
  <c r="J222" i="4"/>
  <c r="J223" i="4" s="1"/>
  <c r="J127" i="4"/>
  <c r="I83" i="2"/>
  <c r="V45" i="7"/>
  <c r="J129" i="4" l="1"/>
  <c r="J153" i="4"/>
  <c r="J119" i="4"/>
  <c r="J226" i="4"/>
  <c r="J114" i="4"/>
  <c r="J66" i="4"/>
  <c r="J67" i="4" l="1"/>
  <c r="J68" i="4" s="1"/>
  <c r="J112" i="4"/>
  <c r="J244" i="4"/>
  <c r="J116" i="4" l="1"/>
  <c r="J245" i="4"/>
  <c r="J246" i="4" s="1"/>
  <c r="J69" i="4"/>
  <c r="J103" i="4" l="1"/>
  <c r="J234" i="4" s="1"/>
  <c r="J70" i="4"/>
  <c r="J118" i="4"/>
  <c r="J247" i="4"/>
  <c r="J248" i="4" s="1"/>
  <c r="J102" i="4" l="1"/>
  <c r="J76" i="4"/>
  <c r="J78" i="2" s="1"/>
  <c r="J235" i="4"/>
  <c r="J239" i="4" s="1"/>
  <c r="W44" i="7"/>
  <c r="J227" i="4"/>
  <c r="J88" i="2" s="1"/>
  <c r="J120" i="4"/>
  <c r="J160" i="4"/>
  <c r="J233" i="4" l="1"/>
  <c r="J104" i="4"/>
  <c r="J150" i="4"/>
  <c r="J155" i="4" s="1"/>
  <c r="J195" i="4"/>
  <c r="J197" i="4" s="1"/>
  <c r="J201" i="4" s="1"/>
  <c r="J157" i="4" l="1"/>
  <c r="W42" i="7"/>
  <c r="J202" i="4"/>
  <c r="J133" i="4"/>
  <c r="J134" i="4"/>
  <c r="J138" i="4" l="1"/>
  <c r="J140" i="4" s="1"/>
  <c r="J143" i="4" s="1"/>
  <c r="J159" i="4"/>
  <c r="J98" i="4"/>
  <c r="J216" i="4"/>
  <c r="J83" i="4" l="1"/>
  <c r="K142" i="4"/>
  <c r="J101" i="4"/>
  <c r="J105" i="4" s="1"/>
  <c r="K200" i="4"/>
  <c r="J144" i="4" l="1"/>
  <c r="J87" i="4"/>
  <c r="J93" i="4" s="1"/>
  <c r="J106" i="4" s="1"/>
  <c r="K194" i="4"/>
  <c r="K213" i="4" s="1"/>
  <c r="K63" i="4" s="1"/>
  <c r="K127" i="4" s="1"/>
  <c r="J218" i="4"/>
  <c r="J219" i="4" s="1"/>
  <c r="J221" i="4" s="1"/>
  <c r="K203" i="4"/>
  <c r="J83" i="2" l="1"/>
  <c r="L55" i="2"/>
  <c r="W45" i="7"/>
  <c r="K214" i="4"/>
  <c r="K64" i="4" s="1"/>
  <c r="K222" i="4"/>
  <c r="K223" i="4" s="1"/>
  <c r="K129" i="4"/>
  <c r="K153" i="4"/>
  <c r="K114" i="4" l="1"/>
  <c r="K226" i="4"/>
  <c r="K66" i="4"/>
  <c r="K119" i="4"/>
  <c r="K67" i="4" l="1"/>
  <c r="K68" i="4" s="1"/>
  <c r="K112" i="4"/>
  <c r="K244" i="4"/>
  <c r="K116" i="4" l="1"/>
  <c r="K245" i="4"/>
  <c r="K246" i="4" s="1"/>
  <c r="K69" i="4"/>
  <c r="K118" i="4" l="1"/>
  <c r="K247" i="4"/>
  <c r="K248" i="4" s="1"/>
  <c r="K103" i="4"/>
  <c r="K70" i="4"/>
  <c r="K160" i="4" l="1"/>
  <c r="K120" i="4"/>
  <c r="K227" i="4"/>
  <c r="K88" i="2" s="1"/>
  <c r="K234" i="4"/>
  <c r="X44" i="7"/>
  <c r="K235" i="4"/>
  <c r="K239" i="4" s="1"/>
  <c r="K76" i="4"/>
  <c r="K78" i="2" s="1"/>
  <c r="K102" i="4"/>
  <c r="K150" i="4" l="1"/>
  <c r="K155" i="4" s="1"/>
  <c r="K195" i="4"/>
  <c r="K197" i="4" s="1"/>
  <c r="K201" i="4" s="1"/>
  <c r="K104" i="4"/>
  <c r="K233" i="4"/>
  <c r="K157" i="4" l="1"/>
  <c r="X42" i="7"/>
  <c r="K202" i="4"/>
  <c r="K133" i="4"/>
  <c r="K134" i="4"/>
  <c r="K138" i="4" l="1"/>
  <c r="K140" i="4" s="1"/>
  <c r="K143" i="4" s="1"/>
  <c r="K159" i="4"/>
  <c r="K98" i="4"/>
  <c r="K216" i="4"/>
  <c r="K83" i="4" l="1"/>
  <c r="K87" i="4" s="1"/>
  <c r="K93" i="4" s="1"/>
  <c r="L142" i="4"/>
  <c r="K101" i="4"/>
  <c r="K105" i="4" s="1"/>
  <c r="L200" i="4"/>
  <c r="K106" i="4" l="1"/>
  <c r="K144" i="4"/>
  <c r="L194" i="4"/>
  <c r="L213" i="4" s="1"/>
  <c r="L63" i="4" s="1"/>
  <c r="L127" i="4" s="1"/>
  <c r="K218" i="4"/>
  <c r="K219" i="4" s="1"/>
  <c r="K221" i="4" s="1"/>
  <c r="L203" i="4"/>
  <c r="X45" i="7" l="1"/>
  <c r="K83" i="2"/>
  <c r="L214" i="4"/>
  <c r="L64" i="4" s="1"/>
  <c r="L222" i="4"/>
  <c r="L223" i="4" s="1"/>
  <c r="L129" i="4"/>
  <c r="L153" i="4"/>
  <c r="L114" i="4" l="1"/>
  <c r="L226" i="4"/>
  <c r="L66" i="4"/>
  <c r="L119" i="4"/>
  <c r="L67" i="4" l="1"/>
  <c r="L68" i="4" s="1"/>
  <c r="L112" i="4"/>
  <c r="L244" i="4"/>
  <c r="L116" i="4" l="1"/>
  <c r="L245" i="4"/>
  <c r="L246" i="4" s="1"/>
  <c r="L69" i="4"/>
  <c r="L118" i="4" l="1"/>
  <c r="L247" i="4"/>
  <c r="L248" i="4" s="1"/>
  <c r="L103" i="4"/>
  <c r="L234" i="4" s="1"/>
  <c r="L70" i="4"/>
  <c r="L160" i="4" l="1"/>
  <c r="L227" i="4"/>
  <c r="L88" i="2" s="1"/>
  <c r="L120" i="4"/>
  <c r="Y44" i="7"/>
  <c r="L235" i="4"/>
  <c r="L239" i="4" s="1"/>
  <c r="L76" i="4"/>
  <c r="L78" i="2" s="1"/>
  <c r="L102" i="4"/>
  <c r="L150" i="4" l="1"/>
  <c r="L155" i="4" s="1"/>
  <c r="L195" i="4"/>
  <c r="L197" i="4" s="1"/>
  <c r="L201" i="4" s="1"/>
  <c r="L233" i="4"/>
  <c r="L104" i="4"/>
  <c r="L157" i="4" l="1"/>
  <c r="Y42" i="7"/>
  <c r="L202" i="4"/>
  <c r="L133" i="4"/>
  <c r="L134" i="4"/>
  <c r="K55" i="2" l="1"/>
  <c r="L159" i="4"/>
  <c r="L98" i="4"/>
  <c r="L101" i="4" s="1"/>
  <c r="L105" i="4" s="1"/>
  <c r="L216" i="4"/>
  <c r="L138" i="4"/>
  <c r="L140" i="4" s="1"/>
  <c r="L143" i="4" s="1"/>
  <c r="L83" i="4" l="1"/>
  <c r="L144" i="4" s="1"/>
  <c r="F27" i="1" s="1"/>
  <c r="G27" i="1" s="1"/>
  <c r="L87" i="4" l="1"/>
  <c r="L93" i="4" s="1"/>
  <c r="L106" i="4" s="1"/>
  <c r="F26" i="1" s="1"/>
  <c r="G26" i="1" s="1"/>
  <c r="G29" i="1" s="1"/>
  <c r="L218" i="4"/>
  <c r="L219" i="4" s="1"/>
  <c r="L221" i="4" s="1"/>
  <c r="L2" i="4" l="1"/>
  <c r="L2" i="3"/>
  <c r="L83" i="2"/>
  <c r="Y45" i="7"/>
</calcChain>
</file>

<file path=xl/sharedStrings.xml><?xml version="1.0" encoding="utf-8"?>
<sst xmlns="http://schemas.openxmlformats.org/spreadsheetml/2006/main" count="1499" uniqueCount="751">
  <si>
    <t>Kofola ČeskoSlovensko  |  Model</t>
  </si>
  <si>
    <t>CZK m unless stated</t>
  </si>
  <si>
    <t>Scenario</t>
  </si>
  <si>
    <t>Model checks</t>
  </si>
  <si>
    <t>Fiscal year ending 31 December</t>
  </si>
  <si>
    <t>Period end</t>
  </si>
  <si>
    <t>Actual / forecast</t>
  </si>
  <si>
    <t>Revenue schedule</t>
  </si>
  <si>
    <t>CZK m</t>
  </si>
  <si>
    <t>Segment revenue, incl. inter-segment sales</t>
  </si>
  <si>
    <t>CzechoSlovakia</t>
  </si>
  <si>
    <t>Adriatic</t>
  </si>
  <si>
    <t>Fresh &amp; Herbs</t>
  </si>
  <si>
    <t>Beers &amp; Ciders</t>
  </si>
  <si>
    <t>Consolidation adjustments</t>
  </si>
  <si>
    <t>Revenue</t>
  </si>
  <si>
    <t>Implied H2 2026 revenue growth</t>
  </si>
  <si>
    <t>Growth y/y</t>
  </si>
  <si>
    <t>Consolidation adjustments (% of segment revenue)</t>
  </si>
  <si>
    <t>Cost schedule (by nature)</t>
  </si>
  <si>
    <t>Materials, energy and cost of goods sold</t>
  </si>
  <si>
    <t>Employee benefits</t>
  </si>
  <si>
    <t>Services</t>
  </si>
  <si>
    <t>Other operating costs</t>
  </si>
  <si>
    <t>Other operating income</t>
  </si>
  <si>
    <t>Other operating expenses (excl. D&amp;A)</t>
  </si>
  <si>
    <t>EBITDA</t>
  </si>
  <si>
    <t>One-off items</t>
  </si>
  <si>
    <t>Adjusted EBITDA</t>
  </si>
  <si>
    <t>Check: EBITDA vs reported EBIT + D&amp;A</t>
  </si>
  <si>
    <t>Cost ratios and margins (% of revenue)</t>
  </si>
  <si>
    <t>Materials, energy and COGS</t>
  </si>
  <si>
    <t>EBITDA margin</t>
  </si>
  <si>
    <t>Adjusted EBITDA margin</t>
  </si>
  <si>
    <t>Adjusted EBITDA margin by segment (% of segment revenue)</t>
  </si>
  <si>
    <t>Income statement</t>
  </si>
  <si>
    <t>Operating costs, net (excl. D&amp;A)</t>
  </si>
  <si>
    <t>Depreciation and amortisation</t>
  </si>
  <si>
    <t>EBIT</t>
  </si>
  <si>
    <t>Finance income</t>
  </si>
  <si>
    <t>Finance costs</t>
  </si>
  <si>
    <t>Share of profit of equity-accounted investees</t>
  </si>
  <si>
    <t>Profit before tax</t>
  </si>
  <si>
    <t>Income tax expense</t>
  </si>
  <si>
    <t>Net profit</t>
  </si>
  <si>
    <t>Non-controlling interests</t>
  </si>
  <si>
    <t>Net profit attributable to owners</t>
  </si>
  <si>
    <t>Check: net profit vs reported</t>
  </si>
  <si>
    <t>Memo</t>
  </si>
  <si>
    <t>Basic EPS, reported</t>
  </si>
  <si>
    <t>CZK</t>
  </si>
  <si>
    <t>Dividend per share declared for the year</t>
  </si>
  <si>
    <t>Shares outstanding, year end</t>
  </si>
  <si>
    <t>m</t>
  </si>
  <si>
    <t>Balance sheet</t>
  </si>
  <si>
    <t>Assets</t>
  </si>
  <si>
    <t>Cash and cash equivalents</t>
  </si>
  <si>
    <t>Trade and other receivables</t>
  </si>
  <si>
    <t>Inventories</t>
  </si>
  <si>
    <t>Other current assets</t>
  </si>
  <si>
    <t>Current tax assets</t>
  </si>
  <si>
    <t>Total current assets</t>
  </si>
  <si>
    <t>PP&amp;E incl. right-of-use assets</t>
  </si>
  <si>
    <t>Goodwill and intangible assets</t>
  </si>
  <si>
    <t>Equity-accounted investments</t>
  </si>
  <si>
    <t>Other non-current assets</t>
  </si>
  <si>
    <t>Total non-current assets</t>
  </si>
  <si>
    <t>Total assets</t>
  </si>
  <si>
    <t>Liabilities and equity</t>
  </si>
  <si>
    <t>Trade and other payables</t>
  </si>
  <si>
    <t>Other current liabilities</t>
  </si>
  <si>
    <t>Bank loans</t>
  </si>
  <si>
    <t>Lease liabilities</t>
  </si>
  <si>
    <t>Other non-current liabilities</t>
  </si>
  <si>
    <t>Total liabilities</t>
  </si>
  <si>
    <t>Equity attributable to owners</t>
  </si>
  <si>
    <t>Total equity</t>
  </si>
  <si>
    <t>Total liabilities and equity</t>
  </si>
  <si>
    <t>Check: balance (assets less liabilities and equity)</t>
  </si>
  <si>
    <t>Cash flow statement</t>
  </si>
  <si>
    <t>Operating activities</t>
  </si>
  <si>
    <t>Net interest expense added back</t>
  </si>
  <si>
    <t>Other non-cash items</t>
  </si>
  <si>
    <t>Income tax paid</t>
  </si>
  <si>
    <t>Change in working capital</t>
  </si>
  <si>
    <t>Cash flow from operations, as reported</t>
  </si>
  <si>
    <t>Interest paid (moved from financing)</t>
  </si>
  <si>
    <t>Cash flow from operations after interest</t>
  </si>
  <si>
    <t>Investing activities</t>
  </si>
  <si>
    <t>Capital expenditure</t>
  </si>
  <si>
    <t>Proceeds from disposals of PP&amp;E</t>
  </si>
  <si>
    <t>Sale of Grodzisk Wielkopolski plant</t>
  </si>
  <si>
    <t>Acquisitions and equity-accounted investments</t>
  </si>
  <si>
    <t>Interest received</t>
  </si>
  <si>
    <t>Other investing</t>
  </si>
  <si>
    <t>Cash flow from investing</t>
  </si>
  <si>
    <t>Financing activities</t>
  </si>
  <si>
    <t>Lease payments (principal)</t>
  </si>
  <si>
    <t>Proceeds from bank loans</t>
  </si>
  <si>
    <t>Repayment of bank loans</t>
  </si>
  <si>
    <t>Dividends paid to owners</t>
  </si>
  <si>
    <t>Contributions from non-controlling interests</t>
  </si>
  <si>
    <t>Other financing</t>
  </si>
  <si>
    <t>Cash flow from financing, excl. interest</t>
  </si>
  <si>
    <t>Net change in cash</t>
  </si>
  <si>
    <t>FX effect on cash</t>
  </si>
  <si>
    <t>Opening cash</t>
  </si>
  <si>
    <t>Closing cash</t>
  </si>
  <si>
    <t>Check: closing cash vs balance sheet</t>
  </si>
  <si>
    <t>Free cash flow bridge</t>
  </si>
  <si>
    <t>Free cash flow</t>
  </si>
  <si>
    <t>Free cash flow after dividends</t>
  </si>
  <si>
    <t>Free cash flow after dividends and M&amp;A</t>
  </si>
  <si>
    <t>Memo: cash from operations (as reported) less capex</t>
  </si>
  <si>
    <t>Working capital</t>
  </si>
  <si>
    <t>Net working capital</t>
  </si>
  <si>
    <t>(Increase) / decrease in net working capital</t>
  </si>
  <si>
    <t>Net working capital (% of revenue)</t>
  </si>
  <si>
    <t>Receivable days (on revenue)</t>
  </si>
  <si>
    <t>days</t>
  </si>
  <si>
    <t>Inventory days (on materials and COGS)</t>
  </si>
  <si>
    <t>Payable days (on materials and COGS)</t>
  </si>
  <si>
    <t>PP&amp;E and D&amp;A</t>
  </si>
  <si>
    <t>Opening PP&amp;E incl. right-of-use assets</t>
  </si>
  <si>
    <t>New leases (right-of-use additions)</t>
  </si>
  <si>
    <t>Other movements (acquisitions, disposals, FX)</t>
  </si>
  <si>
    <t>Closing PP&amp;E incl. right-of-use assets</t>
  </si>
  <si>
    <t>Ratios</t>
  </si>
  <si>
    <t>Capex (% of revenue)</t>
  </si>
  <si>
    <t>New leases (% of revenue)</t>
  </si>
  <si>
    <t>D&amp;A (% of revenue)</t>
  </si>
  <si>
    <t>D&amp;A (% of opening PP&amp;E)</t>
  </si>
  <si>
    <t>Capex / D&amp;A</t>
  </si>
  <si>
    <t>x</t>
  </si>
  <si>
    <t>Debt (loans, leases, cash)</t>
  </si>
  <si>
    <t>Cash</t>
  </si>
  <si>
    <t>Cash flow before debt financing</t>
  </si>
  <si>
    <t>Minimum cash</t>
  </si>
  <si>
    <t>Cash available / shortfall</t>
  </si>
  <si>
    <t>Opening bank loans</t>
  </si>
  <si>
    <t>Drawdown / (repayment)</t>
  </si>
  <si>
    <t>Closing bank loans</t>
  </si>
  <si>
    <t>Interest on bank loans</t>
  </si>
  <si>
    <t>Opening lease liabilities</t>
  </si>
  <si>
    <t>New leases</t>
  </si>
  <si>
    <t>Principal repaid</t>
  </si>
  <si>
    <t>Closing lease liabilities</t>
  </si>
  <si>
    <t>Interest on leases</t>
  </si>
  <si>
    <t>Finance income and costs</t>
  </si>
  <si>
    <t>Interest income on cash</t>
  </si>
  <si>
    <t>Less: cash and cash equivalents</t>
  </si>
  <si>
    <t>Net debt</t>
  </si>
  <si>
    <t>Net debt / adjusted EBITDA</t>
  </si>
  <si>
    <t>Implied interest rate on bank loans</t>
  </si>
  <si>
    <t>Equity and dividends</t>
  </si>
  <si>
    <t>Dividends declared for the year</t>
  </si>
  <si>
    <t>Payout ratio</t>
  </si>
  <si>
    <t>Dividends paid in the year (cash flow)</t>
  </si>
  <si>
    <t>Tax</t>
  </si>
  <si>
    <t>Effective tax rate</t>
  </si>
  <si>
    <t>Income tax paid (cash)</t>
  </si>
  <si>
    <t>Cash tax rate</t>
  </si>
  <si>
    <t>Unlevered free cash flow</t>
  </si>
  <si>
    <t>Taxes on EBIT</t>
  </si>
  <si>
    <t>NOPAT</t>
  </si>
  <si>
    <t>Plus: depreciation and amortisation</t>
  </si>
  <si>
    <t>Less: capital expenditure</t>
  </si>
  <si>
    <t>Less: new leases (right-of-use additions)</t>
  </si>
  <si>
    <t>Valuation</t>
  </si>
  <si>
    <t>Terminal growth rate</t>
  </si>
  <si>
    <t>WACC</t>
  </si>
  <si>
    <t>Cash flow timing</t>
  </si>
  <si>
    <t>Unadjusted cash flow</t>
  </si>
  <si>
    <t>Discrete forecast</t>
  </si>
  <si>
    <t>Terminal value</t>
  </si>
  <si>
    <t>Total cash flow</t>
  </si>
  <si>
    <t>Adjusted cash flow</t>
  </si>
  <si>
    <t>Discounted cash flow</t>
  </si>
  <si>
    <t>Years for discounting</t>
  </si>
  <si>
    <t>Enterprise value</t>
  </si>
  <si>
    <t>Value split</t>
  </si>
  <si>
    <t>Sum of discounted cash flows</t>
  </si>
  <si>
    <t>PV of discrete forecast</t>
  </si>
  <si>
    <t>XNPV function</t>
  </si>
  <si>
    <t>PV of terminal value</t>
  </si>
  <si>
    <t>Equity value</t>
  </si>
  <si>
    <t>Equity value per share</t>
  </si>
  <si>
    <t>Less: net debt at 30.06.2026</t>
  </si>
  <si>
    <t>Shares outstanding</t>
  </si>
  <si>
    <t>Less: non-controlling interests</t>
  </si>
  <si>
    <t>Plus: equity-accounted investments</t>
  </si>
  <si>
    <t>Share price at 30.06.2026</t>
  </si>
  <si>
    <t>Less: FY2025 dividend unpaid at 30.06.2026</t>
  </si>
  <si>
    <t>Upside / (downside)</t>
  </si>
  <si>
    <t>%</t>
  </si>
  <si>
    <t>Implied EV / 2030F EBITDA</t>
  </si>
  <si>
    <t>Exit multiple (EV / EBITDA)</t>
  </si>
  <si>
    <t>Terminal</t>
  </si>
  <si>
    <t>adjustment</t>
  </si>
  <si>
    <t>Implied perpetuity growth</t>
  </si>
  <si>
    <t>Kofola ČeskoSlovensko a.s.</t>
  </si>
  <si>
    <t>Prepared by Matúš Balko  |  Valuation date 30.06.2026  |  CZK m unless stated</t>
  </si>
  <si>
    <t>Contents</t>
  </si>
  <si>
    <t>Outputs</t>
  </si>
  <si>
    <t>Inputs</t>
  </si>
  <si>
    <t>General inputs, scenario drivers, WACC build</t>
  </si>
  <si>
    <t>Model</t>
  </si>
  <si>
    <t>Schedules, three statements, FCF bridge, DCF</t>
  </si>
  <si>
    <t>Comps</t>
  </si>
  <si>
    <t>Hist</t>
  </si>
  <si>
    <t>Source data from the annual and interim reports</t>
  </si>
  <si>
    <t>Conventions</t>
  </si>
  <si>
    <t>Hardcoded input or source figure</t>
  </si>
  <si>
    <t>1,234.5</t>
  </si>
  <si>
    <t>Formula, including links to other sheets</t>
  </si>
  <si>
    <t>Scenario: pick Base / Upside / Downside case in the drop-down on Cover, Outputs or Inputs</t>
  </si>
  <si>
    <t>Costs and cash outflows are negative, subtotals are plain sums</t>
  </si>
  <si>
    <t>A = actual, F = forecast, fiscal year = calendar year</t>
  </si>
  <si>
    <t>Check rows are rounded to 0.1 (source figures are to the nearest CZK thousand)</t>
  </si>
  <si>
    <t>Check</t>
  </si>
  <si>
    <t>Difference</t>
  </si>
  <si>
    <t>Status</t>
  </si>
  <si>
    <t>EBITDA vs reported</t>
  </si>
  <si>
    <t>Net profit vs reported</t>
  </si>
  <si>
    <t>Balance sheet balances</t>
  </si>
  <si>
    <t>Closing cash vs balance sheet</t>
  </si>
  <si>
    <t>DCF: sum of discounted cash flows vs XNPV (both methods)</t>
  </si>
  <si>
    <t>All checks</t>
  </si>
  <si>
    <t>Kofola ČeskoSlovensko  |  Outputs</t>
  </si>
  <si>
    <t>Active scenario</t>
  </si>
  <si>
    <t>DCF inputs</t>
  </si>
  <si>
    <t>DCF summary</t>
  </si>
  <si>
    <t>Football field</t>
  </si>
  <si>
    <t>Kofola ČeskoSlovensko  |  Inputs</t>
  </si>
  <si>
    <t>General</t>
  </si>
  <si>
    <t>First historical year</t>
  </si>
  <si>
    <t>Last actual year</t>
  </si>
  <si>
    <t>Valuation date</t>
  </si>
  <si>
    <t>Czech corporate income tax rate</t>
  </si>
  <si>
    <t>Shares issued</t>
  </si>
  <si>
    <t>Treasury shares held by RADENSKA</t>
  </si>
  <si>
    <t>Shares outstanding at valuation date</t>
  </si>
  <si>
    <t>Scenario drivers</t>
  </si>
  <si>
    <t>% y/y unless stated</t>
  </si>
  <si>
    <t>Revenue growth by segment</t>
  </si>
  <si>
    <t>Base</t>
  </si>
  <si>
    <t>Upside</t>
  </si>
  <si>
    <t>Downside</t>
  </si>
  <si>
    <t>Live case</t>
  </si>
  <si>
    <t>Other revenue inputs</t>
  </si>
  <si>
    <t>Cost drivers (% of revenue)</t>
  </si>
  <si>
    <t>Other cost inputs (same in all cases)</t>
  </si>
  <si>
    <t>Other operating income/(expense), net</t>
  </si>
  <si>
    <t>FY2026 EBITDA guidance, low / high (CZK m)</t>
  </si>
  <si>
    <t>Operating assets and working capital</t>
  </si>
  <si>
    <t>Other PP&amp;E inputs (same in all cases)</t>
  </si>
  <si>
    <t>Working capital days (same in all cases)</t>
  </si>
  <si>
    <t>Interest rate on bank loans (% of opening)</t>
  </si>
  <si>
    <t>Interest rate on leases (% of opening)</t>
  </si>
  <si>
    <t>Lease principal repaid (% of opening leases)</t>
  </si>
  <si>
    <t>Interest income on cash (% of opening)</t>
  </si>
  <si>
    <t>Other finance costs (CZK m)</t>
  </si>
  <si>
    <t>Minimum cash (CZK m)</t>
  </si>
  <si>
    <t>Share of profit of associates (CZK m)</t>
  </si>
  <si>
    <t>NCI share of net profit</t>
  </si>
  <si>
    <t>WACC build</t>
  </si>
  <si>
    <t>Risk-free rate</t>
  </si>
  <si>
    <t>Mature market equity risk premium</t>
  </si>
  <si>
    <t>Country risk premium, Czech Republic</t>
  </si>
  <si>
    <t>Total equity risk premium</t>
  </si>
  <si>
    <t>Unlevered beta</t>
  </si>
  <si>
    <t>Market capitalisation</t>
  </si>
  <si>
    <t>Net debt at 30.06.2026</t>
  </si>
  <si>
    <t>Net debt / equity</t>
  </si>
  <si>
    <t>Relevered beta</t>
  </si>
  <si>
    <t>Cost of equity</t>
  </si>
  <si>
    <t>Pre-tax cost of debt</t>
  </si>
  <si>
    <t>After-tax cost of debt</t>
  </si>
  <si>
    <t>Weight of debt</t>
  </si>
  <si>
    <t>Weight of equity</t>
  </si>
  <si>
    <t>Lists</t>
  </si>
  <si>
    <t>Scenario 1</t>
  </si>
  <si>
    <t>Base case</t>
  </si>
  <si>
    <t>Scenario 2</t>
  </si>
  <si>
    <t>Upside case</t>
  </si>
  <si>
    <t>Scenario 3</t>
  </si>
  <si>
    <t>Downside case</t>
  </si>
  <si>
    <t>Active scenario name</t>
  </si>
  <si>
    <t>Kofola ČeskoSlovensko  |  Trading comparables</t>
  </si>
  <si>
    <t>Kofola ČeskoSlovensko  |  Historical data</t>
  </si>
  <si>
    <t>Source / note</t>
  </si>
  <si>
    <t>Income statement (as reported)</t>
  </si>
  <si>
    <t>XBRL (ESEF) primary statements: FY2024-25 from AR2025, FY2023 from AR2024, FY2022 from AR2023</t>
  </si>
  <si>
    <t>Cost of sales</t>
  </si>
  <si>
    <t>Gross profit</t>
  </si>
  <si>
    <t>Distribution, sales and marketing expenses</t>
  </si>
  <si>
    <t>Administrative expenses</t>
  </si>
  <si>
    <t>Other operating expenses</t>
  </si>
  <si>
    <t>Operating profit (EBIT)</t>
  </si>
  <si>
    <t>Share of profit/(loss) of equity-accounted investees</t>
  </si>
  <si>
    <t>attributable to owners of the parent</t>
  </si>
  <si>
    <t>attributable to non-controlling interests</t>
  </si>
  <si>
    <t>Per share</t>
  </si>
  <si>
    <t>Basic EPS (CZK)</t>
  </si>
  <si>
    <t>Cash dividend per share paid in the year (CZK)</t>
  </si>
  <si>
    <t>Total dividend per share declared for the fiscal year (CZK)</t>
  </si>
  <si>
    <t>Shares issued (m)</t>
  </si>
  <si>
    <t>Treasury shares held by RADENSKA + own shares (m)</t>
  </si>
  <si>
    <t>Shares outstanding, year end (m)</t>
  </si>
  <si>
    <t>Memo: EBITDA as defined by Kofola</t>
  </si>
  <si>
    <t>Depreciation and amortisation</t>
  </si>
  <si>
    <t>EBITDA (reported = EBIT + D&amp;A)</t>
  </si>
  <si>
    <t>One-off items (EBITDA impact)</t>
  </si>
  <si>
    <t>Reported EBIT (source)</t>
  </si>
  <si>
    <t>Segment notes, total column</t>
  </si>
  <si>
    <t>Reported net profit (source)</t>
  </si>
  <si>
    <t>Balance sheet (as reported), 31 December</t>
  </si>
  <si>
    <t>Non-current assets</t>
  </si>
  <si>
    <t>Property, plant and equipment (incl. right-of-use)</t>
  </si>
  <si>
    <t>Investment property</t>
  </si>
  <si>
    <t>Goodwill</t>
  </si>
  <si>
    <t>Intangible assets</t>
  </si>
  <si>
    <t>Other non-current receivables</t>
  </si>
  <si>
    <t>Non-current receivables from related parties</t>
  </si>
  <si>
    <t>Deferred tax assets</t>
  </si>
  <si>
    <t>Current assets</t>
  </si>
  <si>
    <t>TOTAL ASSETS</t>
  </si>
  <si>
    <t>Equity</t>
  </si>
  <si>
    <t>Share capital</t>
  </si>
  <si>
    <t>Share premium and capital reorganisation reserve</t>
  </si>
  <si>
    <t>Other reserves</t>
  </si>
  <si>
    <t>Translation reserve</t>
  </si>
  <si>
    <t>Treasury shares</t>
  </si>
  <si>
    <t>Retained earnings</t>
  </si>
  <si>
    <t>Equity attributable to owners of the parent</t>
  </si>
  <si>
    <t>Non-current liabilities</t>
  </si>
  <si>
    <t>Loans and borrowings (non-current)</t>
  </si>
  <si>
    <t>Lease liabilities (non-current)</t>
  </si>
  <si>
    <t>Provisions (non-current)</t>
  </si>
  <si>
    <t>Deferred tax liabilities</t>
  </si>
  <si>
    <t>Total non-current liabilities</t>
  </si>
  <si>
    <t>Current liabilities</t>
  </si>
  <si>
    <t>Loans and borrowings (current)</t>
  </si>
  <si>
    <t>Lease liabilities (current)</t>
  </si>
  <si>
    <t>Provisions (current)</t>
  </si>
  <si>
    <t>Current tax liabilities</t>
  </si>
  <si>
    <t>Total current liabilities</t>
  </si>
  <si>
    <t>TOTAL EQUITY AND LIABILITIES</t>
  </si>
  <si>
    <t>Reported total assets (source)</t>
  </si>
  <si>
    <t>Reported total equity (source)</t>
  </si>
  <si>
    <t>Cash flow statement (as reported)</t>
  </si>
  <si>
    <t>Net interest expense</t>
  </si>
  <si>
    <t>Share of (profit)/loss of equity-accounted investees</t>
  </si>
  <si>
    <t>Impairment of PP&amp;E / non-current assets</t>
  </si>
  <si>
    <t>Change in provisions</t>
  </si>
  <si>
    <t>Other impairments (receivables, inventory)</t>
  </si>
  <si>
    <t>Derivatives</t>
  </si>
  <si>
    <t>(Gain)/loss on disposal of non-current assets</t>
  </si>
  <si>
    <t>Unrealised FX (gains)/losses</t>
  </si>
  <si>
    <t>Share-based payments</t>
  </si>
  <si>
    <t>Other non-cash adjustments</t>
  </si>
  <si>
    <t>Change in trade and other receivables</t>
  </si>
  <si>
    <t>Change in inventories</t>
  </si>
  <si>
    <t>Change in trade and other payables</t>
  </si>
  <si>
    <t>Cash flow from operating activities</t>
  </si>
  <si>
    <t>Purchase of PP&amp;E and intangibles (capex)</t>
  </si>
  <si>
    <t>Proceeds from sale of PP&amp;E</t>
  </si>
  <si>
    <t>Proceeds from sale of Grodzisk Wielkopolski plant</t>
  </si>
  <si>
    <t>Acquisition of subsidiaries, net of cash acquired</t>
  </si>
  <si>
    <t>Investment in equity-accounted investees</t>
  </si>
  <si>
    <t>Capital contribution to JVs and associates</t>
  </si>
  <si>
    <t>Loans provided</t>
  </si>
  <si>
    <t>Loans repaid to the group</t>
  </si>
  <si>
    <t>Cash flow from investing activities</t>
  </si>
  <si>
    <t>Proceeds from borrowings</t>
  </si>
  <si>
    <t>Repayment of borrowings</t>
  </si>
  <si>
    <t>Dividends paid to owners of the parent</t>
  </si>
  <si>
    <t>Interest paid</t>
  </si>
  <si>
    <t>Realised derivatives</t>
  </si>
  <si>
    <t>Terminated derivatives</t>
  </si>
  <si>
    <t>Dividends not drawn</t>
  </si>
  <si>
    <t>Debt issue costs</t>
  </si>
  <si>
    <t>Contributions from owners (NCI)</t>
  </si>
  <si>
    <t>Cash flow from financing activities</t>
  </si>
  <si>
    <t>Cash reconciliation</t>
  </si>
  <si>
    <t>Net change in cash before FX</t>
  </si>
  <si>
    <t>Reported cash flow from operating activities (source)</t>
  </si>
  <si>
    <t>Reported cash flow from investing activities (source)</t>
  </si>
  <si>
    <t>Reported cash flow from financing activities (source)</t>
  </si>
  <si>
    <t>Segment information (IFRS 8)</t>
  </si>
  <si>
    <t>Segment revenue (incl. inter-segment)</t>
  </si>
  <si>
    <t>AR2025 note 4.1 (p. B-29/B-30) for FY2024-25, AR2023 note 4.1 (p. B-25/B-26) for FY2022-23</t>
  </si>
  <si>
    <t>Total revenue</t>
  </si>
  <si>
    <t>Inter-segment revenue</t>
  </si>
  <si>
    <t>Unreconciled difference in source table</t>
  </si>
  <si>
    <t>Total operating profit</t>
  </si>
  <si>
    <t>Total D&amp;A</t>
  </si>
  <si>
    <t>One-off items (EBITDA impact, negative = one-off gain removed)</t>
  </si>
  <si>
    <t>Total one-offs</t>
  </si>
  <si>
    <t>Reported adjusted EBITDA (source)</t>
  </si>
  <si>
    <t>AR capital management notes (AR2025 4.27, AR2023 4.26)</t>
  </si>
  <si>
    <t>Additions to PP&amp;E and intangibles (incl. new leases, excl. acquisitions)</t>
  </si>
  <si>
    <t>Total additions</t>
  </si>
  <si>
    <t>Revenue by product line and by country</t>
  </si>
  <si>
    <t>Revenue by product line</t>
  </si>
  <si>
    <t>Carbonated beverages</t>
  </si>
  <si>
    <t>Non-carbonated beverages (incl. UGO fresh bottles)</t>
  </si>
  <si>
    <t>Waters</t>
  </si>
  <si>
    <t>Syrups</t>
  </si>
  <si>
    <t>Fresh bars and salads</t>
  </si>
  <si>
    <t>Beers &amp; ciders</t>
  </si>
  <si>
    <t>Other (energy, tea, coffee, services)</t>
  </si>
  <si>
    <t>Total</t>
  </si>
  <si>
    <t>Revenue by country (end customer)</t>
  </si>
  <si>
    <t>Czech Republic</t>
  </si>
  <si>
    <t>Slovakia</t>
  </si>
  <si>
    <t>Slovenia</t>
  </si>
  <si>
    <t>Croatia</t>
  </si>
  <si>
    <t>Poland</t>
  </si>
  <si>
    <t>Other</t>
  </si>
  <si>
    <t>Seasonality (share of annual revenue by quarter)</t>
  </si>
  <si>
    <t>Q1</t>
  </si>
  <si>
    <t>Q2</t>
  </si>
  <si>
    <t>Q3</t>
  </si>
  <si>
    <t>Q4</t>
  </si>
  <si>
    <t>Operating costs by nature and finance costs (costs shown positive, as in the notes)</t>
  </si>
  <si>
    <t>Expenses by nature (cost of sales + distribution + admin)</t>
  </si>
  <si>
    <t>Rental costs (short-term / low-value leases)</t>
  </si>
  <si>
    <t>Taxes and fees</t>
  </si>
  <si>
    <t>Insurance</t>
  </si>
  <si>
    <t>Inventory write-down / (back)</t>
  </si>
  <si>
    <t>Change in receivables allowance</t>
  </si>
  <si>
    <t>Change in finished goods and WIP</t>
  </si>
  <si>
    <t>Other costs</t>
  </si>
  <si>
    <t>Total expenses by nature</t>
  </si>
  <si>
    <t>Less: depreciation booked in other operating expenses</t>
  </si>
  <si>
    <t>Expenses by nature, reconciled</t>
  </si>
  <si>
    <t>of which share-based payments (in employee benefits)</t>
  </si>
  <si>
    <t>Other interest</t>
  </si>
  <si>
    <t>Exchange losses</t>
  </si>
  <si>
    <t>Bank costs and charges</t>
  </si>
  <si>
    <t>Other (FY2025: collateral fee to Lykos alfa)</t>
  </si>
  <si>
    <t>Total finance costs</t>
  </si>
  <si>
    <t>Net debt and leverage (company definition: bank loans + leases - cash)</t>
  </si>
  <si>
    <t>Net debt (company definition)</t>
  </si>
  <si>
    <t>Bank loans and credits</t>
  </si>
  <si>
    <t>Reported bank loans (source)</t>
  </si>
  <si>
    <t>AR2025 note 4.27, AR2023 note 4.26</t>
  </si>
  <si>
    <t>Reported lease liabilities (source)</t>
  </si>
  <si>
    <t>Reported net debt (source)</t>
  </si>
  <si>
    <t>Reported net debt / adjusted EBITDA (source)</t>
  </si>
  <si>
    <t>Leases (IFRS 16)</t>
  </si>
  <si>
    <t>Right-of-use assets (within PP&amp;E)</t>
  </si>
  <si>
    <t>AR2025 note 4.23</t>
  </si>
  <si>
    <t>Additions to right-of-use assets</t>
  </si>
  <si>
    <t>Depreciation of right-of-use assets</t>
  </si>
  <si>
    <t>Bank loans at 31 December 2025 (AR2025 note 4.19)</t>
  </si>
  <si>
    <t>Lender / facility</t>
  </si>
  <si>
    <t>Ccy</t>
  </si>
  <si>
    <t>Maturity</t>
  </si>
  <si>
    <t>Interest basis</t>
  </si>
  <si>
    <t>ČSOB + Česká spořitelna (shared overdraft)</t>
  </si>
  <si>
    <t>EUR</t>
  </si>
  <si>
    <t>6/2028</t>
  </si>
  <si>
    <t>1M EURIBOR + margin, undrawn CZK 66.4m</t>
  </si>
  <si>
    <t>ČSOB + Česká spořitelna (facility)</t>
  </si>
  <si>
    <t>3M PRIBOR + margin</t>
  </si>
  <si>
    <t>3M EURIBOR + margin (part swapped)</t>
  </si>
  <si>
    <t>ČSOB + Česká spořitelna (CAPEX tranche)</t>
  </si>
  <si>
    <t>ČSOB + Česká spořitelna (acquisition tranche)</t>
  </si>
  <si>
    <t>ČSOB + Česká spořitelna</t>
  </si>
  <si>
    <t>ČSOB + Česká spořitelna (Pivovary Zubr)</t>
  </si>
  <si>
    <t>12/2029-12/2030</t>
  </si>
  <si>
    <t>3M PRIBOR + margin, shown as current after covenant breach</t>
  </si>
  <si>
    <t>VÚB</t>
  </si>
  <si>
    <t>11/2027</t>
  </si>
  <si>
    <t>1M EURIBOR + margin</t>
  </si>
  <si>
    <t>4/2030</t>
  </si>
  <si>
    <t>7/2031</t>
  </si>
  <si>
    <t>10/2029</t>
  </si>
  <si>
    <t>fixed 3.69%</t>
  </si>
  <si>
    <t>ČSOB Leasing</t>
  </si>
  <si>
    <t>Total bank loans</t>
  </si>
  <si>
    <t xml:space="preserve">  of which EUR-denominated</t>
  </si>
  <si>
    <t xml:space="preserve">  of which CZK-denominated</t>
  </si>
  <si>
    <t xml:space="preserve">  of which maturing 6/2028</t>
  </si>
  <si>
    <t>H1 2026 interim results (unaudited) and LTM to June 2026</t>
  </si>
  <si>
    <t>6M25</t>
  </si>
  <si>
    <t>6M26</t>
  </si>
  <si>
    <t>LTM Jun-26</t>
  </si>
  <si>
    <t>EBITDA (reported)</t>
  </si>
  <si>
    <t>31.12.2025</t>
  </si>
  <si>
    <t>30.06.2026</t>
  </si>
  <si>
    <t>Loans to related parties (non-current)</t>
  </si>
  <si>
    <t>Loans to related parties (current)</t>
  </si>
  <si>
    <t>Net debt and leverage (company definition)</t>
  </si>
  <si>
    <t>Less: cash</t>
  </si>
  <si>
    <t>Net debt / LTM adjusted EBITDA</t>
  </si>
  <si>
    <t>Shares outstanding (m)</t>
  </si>
  <si>
    <t>Cash flow statement (6 months)</t>
  </si>
  <si>
    <t>Impairment of non-current assets</t>
  </si>
  <si>
    <t>Other impairments</t>
  </si>
  <si>
    <t>(Gain)/loss on sale of PP&amp;E</t>
  </si>
  <si>
    <t>Net exchange differences</t>
  </si>
  <si>
    <t>Change in receivables</t>
  </si>
  <si>
    <t>Change in payables</t>
  </si>
  <si>
    <t>Loans granted</t>
  </si>
  <si>
    <t>Dividends paid</t>
  </si>
  <si>
    <t>Segments (6 months)</t>
  </si>
  <si>
    <t>Segment revenue growth y/y (incl. inter-segment)</t>
  </si>
  <si>
    <t>Operating profit</t>
  </si>
  <si>
    <t>D&amp;A</t>
  </si>
  <si>
    <t>One-offs</t>
  </si>
  <si>
    <t>Total adjusted EBITDA</t>
  </si>
  <si>
    <t>Adjusted EBITDA margin (on segment revenue)</t>
  </si>
  <si>
    <t>Additions to PP&amp;E and intangibles (incl. leases, excl. acquisitions)</t>
  </si>
  <si>
    <t>DCF - exit multiple method</t>
  </si>
  <si>
    <t>DCF - perpetuity growth method</t>
  </si>
  <si>
    <t>Share</t>
  </si>
  <si>
    <t>Shares</t>
  </si>
  <si>
    <t>Net</t>
  </si>
  <si>
    <t>LTM</t>
  </si>
  <si>
    <t>LTM adj.</t>
  </si>
  <si>
    <t>LTM net</t>
  </si>
  <si>
    <t>Company</t>
  </si>
  <si>
    <t>price</t>
  </si>
  <si>
    <t>outstanding</t>
  </si>
  <si>
    <t>debt</t>
  </si>
  <si>
    <t>NCI</t>
  </si>
  <si>
    <t>Associates</t>
  </si>
  <si>
    <t>revenue</t>
  </si>
  <si>
    <t>profit</t>
  </si>
  <si>
    <t>ends</t>
  </si>
  <si>
    <t>per share</t>
  </si>
  <si>
    <t>Coca-Cola HBC</t>
  </si>
  <si>
    <t>Jul-26</t>
  </si>
  <si>
    <t>A.G. Barr</t>
  </si>
  <si>
    <t>GBP</t>
  </si>
  <si>
    <t>Aug-26</t>
  </si>
  <si>
    <t>Royal Unibrew</t>
  </si>
  <si>
    <t>DKK</t>
  </si>
  <si>
    <t>Jun-26</t>
  </si>
  <si>
    <t>Olvi</t>
  </si>
  <si>
    <t>Shown, not in the statistics</t>
  </si>
  <si>
    <t>Fever-Tree</t>
  </si>
  <si>
    <t>Target</t>
  </si>
  <si>
    <t>Kofola ČeskoSlovensko</t>
  </si>
  <si>
    <t>Market</t>
  </si>
  <si>
    <t>Enterprise</t>
  </si>
  <si>
    <t>EV /</t>
  </si>
  <si>
    <t>Net debt /</t>
  </si>
  <si>
    <t>cap</t>
  </si>
  <si>
    <t>value</t>
  </si>
  <si>
    <t>P / E</t>
  </si>
  <si>
    <t>margin</t>
  </si>
  <si>
    <t>Average</t>
  </si>
  <si>
    <t>Median</t>
  </si>
  <si>
    <t>Maximum</t>
  </si>
  <si>
    <t>Minimum</t>
  </si>
  <si>
    <t>Target at the 30.06.2026 share price</t>
  </si>
  <si>
    <t>EV / LTM EBITDA</t>
  </si>
  <si>
    <t>Peer EV / EBITDA</t>
  </si>
  <si>
    <t>Kofola LTM adjusted EBITDA</t>
  </si>
  <si>
    <t>Implied enterprise value</t>
  </si>
  <si>
    <t>Less: unpaid FY2025 dividend (outside shareholders)</t>
  </si>
  <si>
    <t>Implied equity value</t>
  </si>
  <si>
    <t>Implied value per share</t>
  </si>
  <si>
    <t>Upside / (downside) vs share price</t>
  </si>
  <si>
    <t>Peer P / E</t>
  </si>
  <si>
    <t>Low</t>
  </si>
  <si>
    <t>Range</t>
  </si>
  <si>
    <t>High</t>
  </si>
  <si>
    <t>Trading comps (EV / EBITDA)</t>
  </si>
  <si>
    <t>Trading comps (P / E)</t>
  </si>
  <si>
    <t>Scenario analysis</t>
  </si>
  <si>
    <t>Valuation and key metrics</t>
  </si>
  <si>
    <t>Perpetuity</t>
  </si>
  <si>
    <t>Exit mult.</t>
  </si>
  <si>
    <t>Adj. EBITDA</t>
  </si>
  <si>
    <t>EPS</t>
  </si>
  <si>
    <t>FCF after</t>
  </si>
  <si>
    <t>ND / EBITDA</t>
  </si>
  <si>
    <t>Case</t>
  </si>
  <si>
    <t>DCF</t>
  </si>
  <si>
    <t>upside</t>
  </si>
  <si>
    <t>2026F</t>
  </si>
  <si>
    <t>2030F</t>
  </si>
  <si>
    <t>div. 26-30F</t>
  </si>
  <si>
    <t>2028F</t>
  </si>
  <si>
    <t>Live: active case</t>
  </si>
  <si>
    <t>Forecast by scenario</t>
  </si>
  <si>
    <t>Sensitivity analysis</t>
  </si>
  <si>
    <t>WACC step</t>
  </si>
  <si>
    <t>Terminal growth step</t>
  </si>
  <si>
    <t>Exit multiple step</t>
  </si>
  <si>
    <t>Perpetuity growth method</t>
  </si>
  <si>
    <t>Terminal growth rate →</t>
  </si>
  <si>
    <t>WACC ↓</t>
  </si>
  <si>
    <t>Exit multiple method</t>
  </si>
  <si>
    <t>Exit multiple (EV / EBITDA) →</t>
  </si>
  <si>
    <t>Precedent transactions (EV / EBITDA)</t>
  </si>
  <si>
    <t>Stake</t>
  </si>
  <si>
    <t>EV</t>
  </si>
  <si>
    <t>Stated</t>
  </si>
  <si>
    <t>Target (acquirer)</t>
  </si>
  <si>
    <t>Announced</t>
  </si>
  <si>
    <t>acquired</t>
  </si>
  <si>
    <t>(100%)</t>
  </si>
  <si>
    <t>basis</t>
  </si>
  <si>
    <t>multiple</t>
  </si>
  <si>
    <t>Britvic (Carlsberg)</t>
  </si>
  <si>
    <t>LTM Mar-24</t>
  </si>
  <si>
    <t>Vrumona (Royal Unibrew)</t>
  </si>
  <si>
    <t>2022 norm.</t>
  </si>
  <si>
    <t>Hansa Borg (Royal Unibrew)</t>
  </si>
  <si>
    <t>NOK</t>
  </si>
  <si>
    <t>2022E norm.</t>
  </si>
  <si>
    <t>Coca-Cola Amatil (CCEP)</t>
  </si>
  <si>
    <t>AUD</t>
  </si>
  <si>
    <t>FY19</t>
  </si>
  <si>
    <t>Checked but left out: no EV / EBITDA disclosed</t>
  </si>
  <si>
    <t>Coca-Cola Beverages Africa (Coca-Cola HBC)</t>
  </si>
  <si>
    <t>USD</t>
  </si>
  <si>
    <t>21.10.2025</t>
  </si>
  <si>
    <t>75%</t>
  </si>
  <si>
    <t>Coca-Cola Bottling Co. of Egypt (Coca-Cola HBC)</t>
  </si>
  <si>
    <t>27.08.2021</t>
  </si>
  <si>
    <t>94.7%</t>
  </si>
  <si>
    <t>Pivovary CZ, now Pivovary Zubr (Kofola)</t>
  </si>
  <si>
    <t>22.11.2023</t>
  </si>
  <si>
    <t>51%</t>
  </si>
  <si>
    <t>Värska Originaal (Olvi)</t>
  </si>
  <si>
    <t>15.09.2025</t>
  </si>
  <si>
    <t>100%</t>
  </si>
  <si>
    <t>Fentimans (A.G. Barr)</t>
  </si>
  <si>
    <t>03.02.2026</t>
  </si>
  <si>
    <t>Boost Drinks (A.G. Barr)</t>
  </si>
  <si>
    <t>05.12.2022</t>
  </si>
  <si>
    <t>Kofola: implied value from transaction multiples</t>
  </si>
  <si>
    <t>Transaction EV / EBITDA</t>
  </si>
  <si>
    <t>3-statement model, DCF and comparables</t>
  </si>
  <si>
    <t>Scenario switch, DCF summary, football field, scenario and sensitivity tables</t>
  </si>
  <si>
    <t>Trading comparables and precedent transactions</t>
  </si>
  <si>
    <t>Exit</t>
  </si>
  <si>
    <t>growth</t>
  </si>
  <si>
    <t>PV of discrete forecast (H2 2026F to 2030F)</t>
  </si>
  <si>
    <t>Cross-checks</t>
  </si>
  <si>
    <t>Terminal value as % of enterprise value</t>
  </si>
  <si>
    <t>Implied perpetuity growth rate</t>
  </si>
  <si>
    <t>Base /</t>
  </si>
  <si>
    <t>Value per share</t>
  </si>
  <si>
    <t>median</t>
  </si>
  <si>
    <t>DCF (perpetuity growth)</t>
  </si>
  <si>
    <t>DCF (exit multiple)</t>
  </si>
  <si>
    <t>52-week trading range</t>
  </si>
  <si>
    <t>CNB inflation target</t>
  </si>
  <si>
    <t>PSE closing prices 01.07.2025 to 30.06.2026 (Yahoo Finance)</t>
  </si>
  <si>
    <t>H1 2026 report, note 4.14</t>
  </si>
  <si>
    <t>H1 2026 report</t>
  </si>
  <si>
    <t>AR2025, Chairman's statement</t>
  </si>
  <si>
    <t>OECD: Czech 10-year government bond yield, June 2026 average</t>
  </si>
  <si>
    <t>Damodaran, July 2026</t>
  </si>
  <si>
    <t>Damodaran, January 2026 (Moody's Aa3)</t>
  </si>
  <si>
    <t>Damodaran: global Beverage (Soft), January 2026</t>
  </si>
  <si>
    <t>Prague Stock Exchange closing price, 30.06.2026</t>
  </si>
  <si>
    <t>Scenario names</t>
  </si>
  <si>
    <t>AR equity notes</t>
  </si>
  <si>
    <t>AR equity notes, AGM of 17.06.2026</t>
  </si>
  <si>
    <t>AR2023 / AR2025 equity notes</t>
  </si>
  <si>
    <t>Segment note, AR capital management note</t>
  </si>
  <si>
    <t>AR2025 note 4.1 (p. B-31), AR2023 note 4.1 (p. B-27)</t>
  </si>
  <si>
    <t>AR2023 note 4.1</t>
  </si>
  <si>
    <t>AR2025 note 4.3, AR2023 note 4.3</t>
  </si>
  <si>
    <t>AR2023</t>
  </si>
  <si>
    <t>AR2025 note 4.3(i), FY2022-23 from the cash flow statement</t>
  </si>
  <si>
    <t>AR2025 note 4.7, AR2023 note 4.7</t>
  </si>
  <si>
    <t>Source: H1 2026 interim report. LTM = FY2025 + 6M26 - 6M25</t>
  </si>
  <si>
    <t>Check: FY2026F adjusted EBITDA within guidance (CZK 1.8 to 1.9bn)</t>
  </si>
  <si>
    <t>Kofola ČeskoSlovensko  |  Dashboard</t>
  </si>
  <si>
    <t>Market capitalisation (CZK m)</t>
  </si>
  <si>
    <t>Ticker</t>
  </si>
  <si>
    <t>KOFOL (Prague Stock Exchange)</t>
  </si>
  <si>
    <t>Share price at 30.06.2026 (CZK)</t>
  </si>
  <si>
    <t>Net debt at 30.06.2026 (CZK m)</t>
  </si>
  <si>
    <t>Data: football field (CZK per share)</t>
  </si>
  <si>
    <t>Method</t>
  </si>
  <si>
    <t>Data: financials</t>
  </si>
  <si>
    <t>Revenue by segment (CZK m) and revenue growth</t>
  </si>
  <si>
    <t>Adjusted EBITDA, free cash flow and dividends (CZK m)</t>
  </si>
  <si>
    <t>Revenue growth</t>
  </si>
  <si>
    <t>Net debt / adjusted EBITDA (x)</t>
  </si>
  <si>
    <t>Data: scenarios</t>
  </si>
  <si>
    <t>Net debt / adjusted EBITDA by scenario (x)</t>
  </si>
  <si>
    <t>Actual</t>
  </si>
  <si>
    <t>Data: share price (CZK)</t>
  </si>
  <si>
    <t>Date</t>
  </si>
  <si>
    <t>Close</t>
  </si>
  <si>
    <t>Dashboard</t>
  </si>
  <si>
    <t>One-page summary: company overview, valuation and key charts</t>
  </si>
  <si>
    <t>Czech 10-year government bond yield</t>
  </si>
  <si>
    <t>Less: default spread, Czech Republic</t>
  </si>
  <si>
    <t>H1 2026A</t>
  </si>
  <si>
    <t>Less: H1 2026A cash flow (before the valuation date)</t>
  </si>
  <si>
    <t>Company overview</t>
  </si>
  <si>
    <t>Data: company overview</t>
  </si>
  <si>
    <t>Kofola ČeskoSlovensko a.s. (PSE: KOFOL)</t>
  </si>
  <si>
    <t>Central European producer of soft drinks, mineral waters, syrups, fresh juices and teas. Beer since the Pivovary Zubr deal closed in March 2024.</t>
  </si>
  <si>
    <t>Own brands include Kofola, Vinea, Rajec, Radenska, Studenac, Jupí, Semtex, UGO and Leros, plus the beers Zubr, Holba and Litovel.</t>
  </si>
  <si>
    <t>Fourteen plants in the Czech Republic, Slovakia, Slovenia, Croatia and Poland, selling through retail, HoReCa and impulse channels.</t>
  </si>
  <si>
    <t>Four reporting segments: CzechoSlovakia, Adriatic, Fresh &amp; Herbs, and Beers &amp; Ciders.</t>
  </si>
  <si>
    <t>DCF value per share, perpetuity growth (CZK)</t>
  </si>
  <si>
    <t>DCF value per share, exit multiple (CZK)</t>
  </si>
  <si>
    <t>Share price, last 52 weeks (CZK)</t>
  </si>
  <si>
    <t>Football field (CZK per share)</t>
  </si>
  <si>
    <t>Average of base values, football field (CZK)</t>
  </si>
  <si>
    <t>DCF value per share by scenario (CZK)</t>
  </si>
  <si>
    <t>DCF value per share (CZK)</t>
  </si>
  <si>
    <t>Prague Stock Exchange daily closing prices, 01.07.2025 to 30.06.2026 (Yahoo Finance)</t>
  </si>
  <si>
    <t>Sources: Kofola annual report 2025 and H1 2026 interim report, Prague Stock Exchange closing prices (Yahoo Finance), model outputs for the active scenario.</t>
  </si>
  <si>
    <t>Free cash flow is cash flow from operations after interest, less capex and lease principal, plus disposal proceeds and interest received.</t>
  </si>
  <si>
    <t>Debt service cover</t>
  </si>
  <si>
    <t>Capex / adjusted EBITDA</t>
  </si>
  <si>
    <t>Financing and tax (same in all cases)</t>
  </si>
  <si>
    <t>Dividends (by scenario)</t>
  </si>
  <si>
    <t>Dividend per share declared for that year (CZK)</t>
  </si>
  <si>
    <t>Credit metrics</t>
  </si>
  <si>
    <t>Interest cover (adjusted EBITDA / net finance costs)</t>
  </si>
  <si>
    <t>Debt service cover (CFO / interest and lease principal)</t>
  </si>
  <si>
    <t>Memo: bank loans maturing in June 2028 (CZK m)</t>
  </si>
  <si>
    <t>Peers in their own reporting currency (millions), Kofola in CZK m. Valuation date 30.06.2026.</t>
  </si>
  <si>
    <t>Company H1 2026 reports, closing prices on 30.06.2026</t>
  </si>
  <si>
    <t>Peer data at 30.06.2026</t>
  </si>
  <si>
    <t>Trading multiples (LTM)</t>
  </si>
  <si>
    <t>Implied value per share from peer multiples</t>
  </si>
  <si>
    <t>Football field data</t>
  </si>
  <si>
    <t>Precedent transactions</t>
  </si>
  <si>
    <t>Acquirers' deal announcements</t>
  </si>
  <si>
    <t>Implied H2 2026 adjusted EBITDA growth</t>
  </si>
  <si>
    <t>EV / LTM adjusted EBITDA, bonus-normalised (x)</t>
  </si>
  <si>
    <t>P / E on LTM adjusted net profit, bonus-normalised (x)</t>
  </si>
  <si>
    <t>After 30.06.2026, not in the valuation: 52% of COKAFE (August) and the Bohemia Healing Marienbad Waters business for CZK 414m (September).</t>
  </si>
  <si>
    <t>Also signed in September 2026: 51% of Chachar catering (Ostrava-based chain of 43 pubs, closing by the end of 2026).</t>
  </si>
  <si>
    <t>The dashed line in the football field is the average of the two DCF base values and the EV / EBITDA comps median. P / E and transactions are cross-checks only.</t>
  </si>
  <si>
    <t>Average of base values (DCF and EV / EBITDA comps)</t>
  </si>
  <si>
    <t>Trading comps adjustment</t>
  </si>
  <si>
    <t>LTM EBITDA normalisation for the 2025 bonus release</t>
  </si>
  <si>
    <t>AR2025 note on provisions (bonus provision 214.7 in 2024, 12.2 in 2025), 6M26 report (bonus accrual 83.9 in H1 2026)</t>
  </si>
  <si>
    <t>Kofola LTM adjusted EBITDA, bonus-normalised</t>
  </si>
  <si>
    <t>Kofola LTM adjusted net profit to owners, bonus-normalised</t>
  </si>
  <si>
    <t>Peer net profit: CCH comparable, A.G. Barr adjusted, Royal Unibrew and Olvi reported (no one-offs disclosed in the LTM period)</t>
  </si>
  <si>
    <t>EBITDA printed as A$1.0bn (post AASB 16), CCEP announcement 25.10.2020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</si>
</sst>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%_);\(0.0%\);&quot;–&quot;_)"/>
    <numFmt numFmtId="165" formatCode="dd\.mm\.yyyy"/>
    <numFmt numFmtId="166" formatCode="0&quot;F&quot;"/>
    <numFmt numFmtId="167" formatCode="0&quot;A&quot;"/>
    <numFmt numFmtId="168" formatCode="#,##0.0_);\(#,##0.0\);&quot;–&quot;_)"/>
    <numFmt numFmtId="169" formatCode="#,##0.00_);\(#,##0.00\);&quot;–&quot;_)"/>
    <numFmt numFmtId="170" formatCode=";;;"/>
    <numFmt numFmtId="171" formatCode="#,##0_);\(#,##0\);&quot;–&quot;_)"/>
    <numFmt numFmtId="172" formatCode="0.00%_);\(0.00%\);&quot;–&quot;_)"/>
    <numFmt numFmtId="173" formatCode="0.00&quot;x&quot;"/>
    <numFmt numFmtId="174" formatCode="0.00_);\(0.00\);&quot;–&quot;_)"/>
    <numFmt numFmtId="175" formatCode="0.0&quot;x&quot;_);\(0.0&quot;x&quot;\);&quot;–&quot;_)"/>
    <numFmt numFmtId="176" formatCode="#,##0.00#_);\(#,##0.00#\);&quot;–&quot;_)"/>
    <numFmt numFmtId="177" formatCode="0.0%_);[Red]\(0.0%\);&quot;–&quot;_)"/>
  </numFmts>
  <fonts count="60" x14ac:knownFonts="1">
    <font>
      <sz val="10"/>
      <name val="Arial"/>
      <family val="2"/>
    </font>
    <font>
      <b/>
      <sz val="13"/>
      <color rgb="FFFFFFFF"/>
      <name val="Arial"/>
      <family val="2"/>
    </font>
    <font>
      <i/>
      <sz val="9"/>
      <color rgb="FF7F7F7F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1"/>
      <color rgb="FF0B1F3A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7F7F7F"/>
      <name val="Arial"/>
      <family val="2"/>
    </font>
    <font>
      <sz val="9"/>
      <color rgb="FF7F7F7F"/>
      <name val="Arial"/>
      <family val="2"/>
    </font>
    <font>
      <b/>
      <sz val="9"/>
      <color rgb="FF0B1F3A"/>
      <name val="Arial"/>
      <family val="2"/>
    </font>
    <font>
      <b/>
      <sz val="16"/>
      <color rgb="FF0B1F3A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b/>
      <sz val="11"/>
      <color rgb="FF0B1F3A"/>
      <name val="Arial"/>
      <family val="2"/>
    </font>
    <font>
      <i/>
      <sz val="9"/>
      <color rgb="FF7F7F7F"/>
      <name val="Arial"/>
      <family val="2"/>
    </font>
    <font>
      <b/>
      <sz val="10"/>
      <color rgb="FF000000"/>
      <name val="Arial"/>
      <family val="2"/>
    </font>
    <font>
      <b/>
      <sz val="9"/>
      <color rgb="FF0B1F3A"/>
      <name val="Arial"/>
      <family val="2"/>
    </font>
    <font>
      <sz val="10"/>
      <color rgb="FF0000FF"/>
      <name val="Arial"/>
      <family val="2"/>
    </font>
    <font>
      <sz val="9"/>
      <color rgb="FF7F7F7F"/>
      <name val="Arial"/>
      <family val="2"/>
    </font>
    <font>
      <i/>
      <sz val="10"/>
      <name val="Arial"/>
      <family val="2"/>
    </font>
    <font>
      <i/>
      <sz val="9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B1F3A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9"/>
      <color rgb="FF7F7F7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1"/>
      <color rgb="FF0B1F3A"/>
      <name val="Arial"/>
      <family val="2"/>
    </font>
    <font>
      <i/>
      <sz val="9"/>
      <color rgb="FF7F7F7F"/>
      <name val="Arial"/>
      <family val="2"/>
    </font>
    <font>
      <b/>
      <sz val="10"/>
      <color rgb="FF000000"/>
      <name val="Arial"/>
      <family val="2"/>
    </font>
    <font>
      <b/>
      <sz val="9"/>
      <color rgb="FF0B1F3A"/>
      <name val="Arial"/>
      <family val="2"/>
    </font>
    <font>
      <i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b/>
      <sz val="9"/>
      <color rgb="FF0B1F3A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rgb="FF0B1F3A"/>
      <name val="Arial"/>
      <family val="2"/>
    </font>
    <font>
      <i/>
      <sz val="9"/>
      <color rgb="FF7F7F7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7F7F7F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1"/>
      <color rgb="FF0B1F3A"/>
      <name val="Arial"/>
      <family val="2"/>
    </font>
    <font>
      <b/>
      <sz val="9"/>
      <color rgb="FF0B1F3A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9"/>
      <color rgb="FF000000"/>
      <name val="Arial"/>
      <family val="2"/>
    </font>
    <font>
      <b/>
      <sz val="10"/>
      <color rgb="FF0B1F3A"/>
      <name val="Arial"/>
      <family val="2"/>
    </font>
    <font>
      <sz val="9"/>
      <color rgb="FF000000"/>
      <name val="Arial"/>
      <family val="2"/>
    </font>
    <font>
      <i/>
      <sz val="8"/>
      <color rgb="FF7F7F7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7C4D6"/>
      </bottom>
      <diagonal/>
    </border>
    <border>
      <left/>
      <right/>
      <top style="thin">
        <color rgb="FFB7C4D6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B7C4D6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B7C4D6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B7C4D6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B7C4D6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/>
      <right/>
      <top/>
      <bottom/>
      <diagonal style="thin">
        <color rgb="FFBFBFBF"/>
      </diagonal>
    </border>
    <border diagonalUp="1" diagonalDown="1">
      <left style="thin">
        <color indexed="64"/>
      </left>
      <right/>
      <top style="thin">
        <color indexed="64"/>
      </top>
      <bottom/>
      <diagonal style="thin">
        <color rgb="FFBFBFBF"/>
      </diagonal>
    </border>
    <border diagonalUp="1" diagonalDown="1">
      <left/>
      <right/>
      <top style="thin">
        <color indexed="64"/>
      </top>
      <bottom/>
      <diagonal style="thin">
        <color rgb="FFBFBFBF"/>
      </diagonal>
    </border>
    <border diagonalUp="1" diagonalDown="1">
      <left/>
      <right style="thin">
        <color indexed="64"/>
      </right>
      <top style="thin">
        <color indexed="64"/>
      </top>
      <bottom/>
      <diagonal style="thin">
        <color rgb="FFBFBFBF"/>
      </diagonal>
    </border>
    <border diagonalUp="1" diagonalDown="1">
      <left style="thin">
        <color indexed="64"/>
      </left>
      <right/>
      <top/>
      <bottom/>
      <diagonal style="thin">
        <color rgb="FFBFBFBF"/>
      </diagonal>
    </border>
    <border diagonalUp="1" diagonalDown="1">
      <left/>
      <right style="thin">
        <color indexed="64"/>
      </right>
      <top/>
      <bottom/>
      <diagonal style="thin">
        <color rgb="FFBFBFBF"/>
      </diagonal>
    </border>
    <border diagonalUp="1" diagonalDown="1">
      <left style="thin">
        <color indexed="64"/>
      </left>
      <right/>
      <top/>
      <bottom style="thin">
        <color indexed="64"/>
      </bottom>
      <diagonal style="thin">
        <color rgb="FFBFBFBF"/>
      </diagonal>
    </border>
    <border diagonalUp="1" diagonalDown="1">
      <left/>
      <right/>
      <top/>
      <bottom style="thin">
        <color indexed="64"/>
      </bottom>
      <diagonal style="thin">
        <color rgb="FFBFBFBF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n">
        <color rgb="FFBFBFBF"/>
      </diagonal>
    </border>
    <border>
      <left/>
      <right/>
      <top/>
      <bottom style="medium">
        <color rgb="FF4472C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18"/>
  </cellStyleXfs>
  <cellXfs count="247">
    <xf numFmtId="0" fontId="0" fillId="0" borderId="0" xfId="0" applyBorder="1"/>
    <xf numFmtId="0" fontId="0" fillId="2" borderId="0" xfId="0" applyFill="1" applyBorder="1"/>
    <xf numFmtId="0" fontId="1" fillId="2" borderId="0" xfId="0" applyFont="1" applyFill="1" applyBorder="1" applyAlignment="1">
      <alignment vertical="center"/>
    </xf>
    <xf numFmtId="0" fontId="11" fillId="0" borderId="0" xfId="0" applyFont="1" applyBorder="1"/>
    <xf numFmtId="0" fontId="8" fillId="0" borderId="0" xfId="0" applyFont="1" applyBorder="1"/>
    <xf numFmtId="0" fontId="5" fillId="3" borderId="2" xfId="0" applyFont="1" applyFill="1" applyBorder="1"/>
    <xf numFmtId="0" fontId="0" fillId="3" borderId="2" xfId="0" applyFill="1" applyBorder="1"/>
    <xf numFmtId="0" fontId="12" fillId="0" borderId="0" xfId="0" applyFont="1" applyBorder="1" applyAlignment="1">
      <alignment indent="1"/>
    </xf>
    <xf numFmtId="0" fontId="6" fillId="0" borderId="0" xfId="0" applyFont="1" applyBorder="1" applyAlignment="1">
      <alignment indent="1"/>
    </xf>
    <xf numFmtId="0" fontId="7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4" fillId="0" borderId="4" xfId="0" applyFont="1" applyBorder="1"/>
    <xf numFmtId="0" fontId="0" fillId="0" borderId="4" xfId="0" applyBorder="1"/>
    <xf numFmtId="0" fontId="4" fillId="0" borderId="4" xfId="0" applyFont="1" applyBorder="1" applyAlignment="1">
      <alignment horizontal="right"/>
    </xf>
    <xf numFmtId="0" fontId="2" fillId="0" borderId="0" xfId="0" applyFont="1" applyBorder="1"/>
    <xf numFmtId="0" fontId="4" fillId="0" borderId="0" xfId="0" applyFont="1" applyBorder="1"/>
    <xf numFmtId="164" fontId="7" fillId="0" borderId="0" xfId="0" applyNumberFormat="1" applyFont="1" applyBorder="1" applyAlignment="1">
      <alignment horizontal="right"/>
    </xf>
    <xf numFmtId="1" fontId="7" fillId="0" borderId="0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indent="1"/>
    </xf>
    <xf numFmtId="166" fontId="4" fillId="0" borderId="1" xfId="0" applyNumberFormat="1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167" fontId="4" fillId="0" borderId="0" xfId="0" applyNumberFormat="1" applyFont="1" applyBorder="1" applyAlignment="1">
      <alignment horizontal="right"/>
    </xf>
    <xf numFmtId="166" fontId="4" fillId="0" borderId="0" xfId="0" applyNumberFormat="1" applyFont="1" applyBorder="1" applyAlignment="1">
      <alignment horizontal="right"/>
    </xf>
    <xf numFmtId="165" fontId="9" fillId="0" borderId="0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0" fontId="10" fillId="0" borderId="0" xfId="0" applyFont="1" applyBorder="1"/>
    <xf numFmtId="0" fontId="2" fillId="0" borderId="0" xfId="0" applyFont="1" applyBorder="1" applyAlignment="1">
      <alignment indent="1"/>
    </xf>
    <xf numFmtId="164" fontId="6" fillId="0" borderId="0" xfId="0" applyNumberFormat="1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169" fontId="7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3" fillId="0" borderId="5" xfId="0" applyFont="1" applyBorder="1"/>
    <xf numFmtId="0" fontId="14" fillId="4" borderId="6" xfId="0" applyFont="1" applyFill="1" applyBorder="1"/>
    <xf numFmtId="0" fontId="13" fillId="4" borderId="6" xfId="0" applyFont="1" applyFill="1" applyBorder="1"/>
    <xf numFmtId="0" fontId="15" fillId="0" borderId="5" xfId="0" applyFont="1" applyBorder="1"/>
    <xf numFmtId="167" fontId="16" fillId="0" borderId="7" xfId="0" applyNumberFormat="1" applyFont="1" applyBorder="1" applyAlignment="1">
      <alignment horizontal="right"/>
    </xf>
    <xf numFmtId="166" fontId="16" fillId="0" borderId="7" xfId="0" applyNumberFormat="1" applyFont="1" applyBorder="1" applyAlignment="1">
      <alignment horizontal="right"/>
    </xf>
    <xf numFmtId="0" fontId="17" fillId="0" borderId="5" xfId="0" applyFont="1" applyBorder="1"/>
    <xf numFmtId="0" fontId="16" fillId="0" borderId="5" xfId="0" applyFont="1" applyBorder="1" applyAlignment="1">
      <alignment indent="1"/>
    </xf>
    <xf numFmtId="0" fontId="13" fillId="0" borderId="5" xfId="0" applyFont="1" applyBorder="1" applyAlignment="1">
      <alignment indent="2"/>
    </xf>
    <xf numFmtId="164" fontId="18" fillId="0" borderId="5" xfId="0" applyNumberFormat="1" applyFont="1" applyBorder="1" applyAlignment="1">
      <alignment horizontal="right"/>
    </xf>
    <xf numFmtId="0" fontId="16" fillId="0" borderId="5" xfId="0" applyFont="1" applyBorder="1" applyAlignment="1">
      <alignment indent="2"/>
    </xf>
    <xf numFmtId="164" fontId="16" fillId="0" borderId="8" xfId="0" applyNumberFormat="1" applyFont="1" applyBorder="1" applyAlignment="1">
      <alignment horizontal="right"/>
    </xf>
    <xf numFmtId="0" fontId="13" fillId="0" borderId="5" xfId="0" applyFont="1" applyBorder="1" applyAlignment="1">
      <alignment indent="1"/>
    </xf>
    <xf numFmtId="0" fontId="14" fillId="0" borderId="0" xfId="0" applyFont="1" applyBorder="1" applyAlignment="1">
      <alignment horizontal="right" vertical="center"/>
    </xf>
    <xf numFmtId="170" fontId="19" fillId="0" borderId="5" xfId="0" applyNumberFormat="1" applyFont="1" applyBorder="1" applyAlignment="1">
      <alignment horizontal="right"/>
    </xf>
    <xf numFmtId="0" fontId="15" fillId="0" borderId="0" xfId="0" applyFont="1" applyBorder="1"/>
    <xf numFmtId="0" fontId="19" fillId="0" borderId="0" xfId="0" applyFont="1" applyBorder="1" applyAlignment="1">
      <alignment horizontal="right"/>
    </xf>
    <xf numFmtId="0" fontId="22" fillId="0" borderId="0" xfId="0" applyFont="1" applyBorder="1" applyAlignment="1">
      <alignment horizontal="right"/>
    </xf>
    <xf numFmtId="168" fontId="22" fillId="0" borderId="0" xfId="0" applyNumberFormat="1" applyFont="1" applyBorder="1"/>
    <xf numFmtId="0" fontId="23" fillId="0" borderId="5" xfId="0" applyFont="1" applyBorder="1" applyAlignment="1">
      <alignment horizontal="right"/>
    </xf>
    <xf numFmtId="164" fontId="24" fillId="0" borderId="5" xfId="0" applyNumberFormat="1" applyFont="1" applyBorder="1" applyAlignment="1">
      <alignment horizontal="right"/>
    </xf>
    <xf numFmtId="0" fontId="23" fillId="0" borderId="0" xfId="0" applyFont="1" applyBorder="1"/>
    <xf numFmtId="0" fontId="23" fillId="0" borderId="0" xfId="0" applyFont="1" applyBorder="1" applyAlignment="1">
      <alignment horizontal="right"/>
    </xf>
    <xf numFmtId="167" fontId="23" fillId="0" borderId="0" xfId="0" applyNumberFormat="1" applyFont="1" applyBorder="1" applyAlignment="1">
      <alignment horizontal="right"/>
    </xf>
    <xf numFmtId="0" fontId="20" fillId="0" borderId="0" xfId="0" applyFont="1" applyBorder="1" applyAlignment="1">
      <alignment indent="1"/>
    </xf>
    <xf numFmtId="164" fontId="20" fillId="0" borderId="0" xfId="0" applyNumberFormat="1" applyFont="1" applyBorder="1" applyAlignment="1">
      <alignment horizontal="right"/>
    </xf>
    <xf numFmtId="0" fontId="21" fillId="0" borderId="0" xfId="0" applyFont="1" applyBorder="1"/>
    <xf numFmtId="164" fontId="22" fillId="0" borderId="0" xfId="0" applyNumberFormat="1" applyFont="1" applyBorder="1" applyAlignment="1">
      <alignment horizontal="right"/>
    </xf>
    <xf numFmtId="169" fontId="22" fillId="0" borderId="0" xfId="0" applyNumberFormat="1" applyFont="1" applyBorder="1" applyAlignment="1">
      <alignment horizontal="right"/>
    </xf>
    <xf numFmtId="0" fontId="25" fillId="0" borderId="9" xfId="0" applyFont="1" applyBorder="1"/>
    <xf numFmtId="0" fontId="26" fillId="0" borderId="9" xfId="0" applyFont="1" applyBorder="1"/>
    <xf numFmtId="0" fontId="27" fillId="0" borderId="9" xfId="0" applyFont="1" applyBorder="1" applyAlignment="1">
      <alignment indent="1"/>
    </xf>
    <xf numFmtId="164" fontId="28" fillId="0" borderId="9" xfId="0" applyNumberFormat="1" applyFont="1" applyBorder="1" applyAlignment="1">
      <alignment horizontal="right"/>
    </xf>
    <xf numFmtId="0" fontId="29" fillId="0" borderId="9" xfId="0" applyFont="1" applyBorder="1"/>
    <xf numFmtId="0" fontId="25" fillId="0" borderId="9" xfId="0" applyFont="1" applyBorder="1" applyAlignment="1">
      <alignment indent="2"/>
    </xf>
    <xf numFmtId="164" fontId="30" fillId="0" borderId="9" xfId="0" applyNumberFormat="1" applyFont="1" applyBorder="1" applyAlignment="1">
      <alignment horizontal="right"/>
    </xf>
    <xf numFmtId="0" fontId="27" fillId="0" borderId="9" xfId="0" applyFont="1" applyBorder="1" applyAlignment="1">
      <alignment indent="2"/>
    </xf>
    <xf numFmtId="164" fontId="27" fillId="0" borderId="10" xfId="0" applyNumberFormat="1" applyFont="1" applyBorder="1" applyAlignment="1">
      <alignment horizontal="right"/>
    </xf>
    <xf numFmtId="0" fontId="25" fillId="0" borderId="9" xfId="0" applyFont="1" applyBorder="1" applyAlignment="1">
      <alignment indent="1"/>
    </xf>
    <xf numFmtId="0" fontId="29" fillId="0" borderId="0" xfId="0" applyFont="1" applyBorder="1"/>
    <xf numFmtId="164" fontId="23" fillId="0" borderId="0" xfId="0" applyNumberFormat="1" applyFont="1" applyBorder="1" applyAlignment="1">
      <alignment horizontal="right"/>
    </xf>
    <xf numFmtId="0" fontId="31" fillId="0" borderId="11" xfId="0" applyFont="1" applyBorder="1"/>
    <xf numFmtId="0" fontId="35" fillId="0" borderId="11" xfId="0" applyFont="1" applyBorder="1"/>
    <xf numFmtId="0" fontId="34" fillId="0" borderId="11" xfId="0" applyFont="1" applyBorder="1" applyAlignment="1">
      <alignment indent="1"/>
    </xf>
    <xf numFmtId="164" fontId="36" fillId="0" borderId="11" xfId="0" applyNumberFormat="1" applyFont="1" applyBorder="1" applyAlignment="1">
      <alignment horizontal="right"/>
    </xf>
    <xf numFmtId="0" fontId="33" fillId="0" borderId="11" xfId="0" applyFont="1" applyBorder="1"/>
    <xf numFmtId="0" fontId="31" fillId="0" borderId="11" xfId="0" applyFont="1" applyBorder="1" applyAlignment="1">
      <alignment indent="2"/>
    </xf>
    <xf numFmtId="164" fontId="37" fillId="0" borderId="11" xfId="0" applyNumberFormat="1" applyFont="1" applyBorder="1" applyAlignment="1">
      <alignment horizontal="right"/>
    </xf>
    <xf numFmtId="0" fontId="34" fillId="0" borderId="11" xfId="0" applyFont="1" applyBorder="1" applyAlignment="1">
      <alignment indent="2"/>
    </xf>
    <xf numFmtId="164" fontId="34" fillId="0" borderId="14" xfId="0" applyNumberFormat="1" applyFont="1" applyBorder="1" applyAlignment="1">
      <alignment horizontal="right"/>
    </xf>
    <xf numFmtId="0" fontId="31" fillId="0" borderId="11" xfId="0" applyFont="1" applyBorder="1" applyAlignment="1">
      <alignment indent="1"/>
    </xf>
    <xf numFmtId="171" fontId="36" fillId="0" borderId="11" xfId="0" applyNumberFormat="1" applyFont="1" applyBorder="1" applyAlignment="1">
      <alignment horizontal="right"/>
    </xf>
    <xf numFmtId="171" fontId="37" fillId="0" borderId="11" xfId="0" applyNumberFormat="1" applyFont="1" applyBorder="1" applyAlignment="1">
      <alignment horizontal="right"/>
    </xf>
    <xf numFmtId="0" fontId="32" fillId="5" borderId="12" xfId="0" applyFont="1" applyFill="1" applyBorder="1"/>
    <xf numFmtId="0" fontId="31" fillId="5" borderId="12" xfId="0" applyFont="1" applyFill="1" applyBorder="1"/>
    <xf numFmtId="0" fontId="33" fillId="0" borderId="11" xfId="0" applyFont="1" applyBorder="1" applyAlignment="1">
      <alignment indent="1"/>
    </xf>
    <xf numFmtId="167" fontId="34" fillId="0" borderId="13" xfId="0" applyNumberFormat="1" applyFont="1" applyBorder="1" applyAlignment="1">
      <alignment horizontal="right"/>
    </xf>
    <xf numFmtId="166" fontId="34" fillId="0" borderId="13" xfId="0" applyNumberFormat="1" applyFont="1" applyBorder="1" applyAlignment="1">
      <alignment horizontal="right"/>
    </xf>
    <xf numFmtId="164" fontId="31" fillId="0" borderId="11" xfId="0" applyNumberFormat="1" applyFont="1" applyBorder="1" applyAlignment="1">
      <alignment horizontal="right"/>
    </xf>
    <xf numFmtId="171" fontId="31" fillId="0" borderId="11" xfId="0" applyNumberFormat="1" applyFont="1" applyBorder="1" applyAlignment="1">
      <alignment horizontal="right"/>
    </xf>
    <xf numFmtId="164" fontId="34" fillId="0" borderId="11" xfId="0" applyNumberFormat="1" applyFont="1" applyBorder="1" applyAlignment="1">
      <alignment horizontal="right"/>
    </xf>
    <xf numFmtId="169" fontId="31" fillId="0" borderId="11" xfId="0" applyNumberFormat="1" applyFont="1" applyBorder="1" applyAlignment="1">
      <alignment horizontal="right"/>
    </xf>
    <xf numFmtId="0" fontId="0" fillId="0" borderId="11" xfId="0" applyBorder="1"/>
    <xf numFmtId="0" fontId="38" fillId="0" borderId="11" xfId="0" applyFont="1" applyBorder="1"/>
    <xf numFmtId="0" fontId="31" fillId="0" borderId="15" xfId="0" applyFont="1" applyBorder="1"/>
    <xf numFmtId="0" fontId="39" fillId="0" borderId="15" xfId="0" applyFont="1" applyBorder="1"/>
    <xf numFmtId="0" fontId="40" fillId="0" borderId="11" xfId="0" applyFont="1" applyBorder="1" applyAlignment="1">
      <alignment indent="1"/>
    </xf>
    <xf numFmtId="164" fontId="41" fillId="0" borderId="11" xfId="0" applyNumberFormat="1" applyFont="1" applyBorder="1" applyAlignment="1">
      <alignment horizontal="right"/>
    </xf>
    <xf numFmtId="171" fontId="41" fillId="0" borderId="11" xfId="0" applyNumberFormat="1" applyFont="1" applyBorder="1" applyAlignment="1">
      <alignment horizontal="right"/>
    </xf>
    <xf numFmtId="169" fontId="41" fillId="0" borderId="11" xfId="0" applyNumberFormat="1" applyFont="1" applyBorder="1" applyAlignment="1">
      <alignment horizontal="right"/>
    </xf>
    <xf numFmtId="0" fontId="40" fillId="0" borderId="15" xfId="0" applyFont="1" applyBorder="1"/>
    <xf numFmtId="0" fontId="42" fillId="6" borderId="16" xfId="0" applyFont="1" applyFill="1" applyBorder="1"/>
    <xf numFmtId="0" fontId="40" fillId="6" borderId="16" xfId="0" applyFont="1" applyFill="1" applyBorder="1"/>
    <xf numFmtId="0" fontId="43" fillId="0" borderId="15" xfId="0" applyFont="1" applyBorder="1"/>
    <xf numFmtId="0" fontId="43" fillId="0" borderId="15" xfId="0" applyFont="1" applyBorder="1" applyAlignment="1">
      <alignment indent="1"/>
    </xf>
    <xf numFmtId="0" fontId="40" fillId="0" borderId="15" xfId="0" applyFont="1" applyBorder="1" applyAlignment="1">
      <alignment indent="1"/>
    </xf>
    <xf numFmtId="0" fontId="41" fillId="0" borderId="15" xfId="0" applyFont="1" applyBorder="1" applyAlignment="1">
      <alignment horizontal="right"/>
    </xf>
    <xf numFmtId="0" fontId="44" fillId="0" borderId="15" xfId="0" applyFont="1" applyBorder="1" applyAlignment="1">
      <alignment indent="1"/>
    </xf>
    <xf numFmtId="0" fontId="44" fillId="0" borderId="15" xfId="0" applyFont="1" applyBorder="1" applyAlignment="1">
      <alignment horizontal="right"/>
    </xf>
    <xf numFmtId="0" fontId="0" fillId="3" borderId="12" xfId="0" applyFill="1" applyBorder="1"/>
    <xf numFmtId="0" fontId="39" fillId="0" borderId="11" xfId="0" applyFont="1" applyBorder="1"/>
    <xf numFmtId="0" fontId="40" fillId="0" borderId="15" xfId="0" applyFont="1" applyBorder="1" applyAlignment="1">
      <alignment horizontal="right"/>
    </xf>
    <xf numFmtId="0" fontId="44" fillId="0" borderId="11" xfId="0" applyFont="1" applyBorder="1" applyAlignment="1">
      <alignment indent="1"/>
    </xf>
    <xf numFmtId="172" fontId="45" fillId="0" borderId="0" xfId="0" applyNumberFormat="1" applyFont="1" applyBorder="1" applyAlignment="1">
      <alignment horizontal="right"/>
    </xf>
    <xf numFmtId="172" fontId="47" fillId="0" borderId="0" xfId="0" applyNumberFormat="1" applyFont="1" applyBorder="1" applyAlignment="1">
      <alignment horizontal="right"/>
    </xf>
    <xf numFmtId="0" fontId="43" fillId="0" borderId="0" xfId="0" applyFont="1" applyBorder="1"/>
    <xf numFmtId="0" fontId="45" fillId="0" borderId="15" xfId="0" applyFont="1" applyBorder="1" applyAlignment="1">
      <alignment indent="1"/>
    </xf>
    <xf numFmtId="0" fontId="46" fillId="0" borderId="15" xfId="0" applyFont="1" applyBorder="1"/>
    <xf numFmtId="172" fontId="47" fillId="0" borderId="18" xfId="0" applyNumberFormat="1" applyFont="1" applyAlignment="1">
      <alignment horizontal="right"/>
    </xf>
    <xf numFmtId="0" fontId="45" fillId="0" borderId="0" xfId="0" applyFont="1" applyBorder="1"/>
    <xf numFmtId="0" fontId="46" fillId="0" borderId="0" xfId="0" applyFont="1" applyBorder="1"/>
    <xf numFmtId="172" fontId="45" fillId="0" borderId="18" xfId="0" applyNumberFormat="1" applyFont="1" applyAlignment="1">
      <alignment horizontal="right"/>
    </xf>
    <xf numFmtId="2" fontId="47" fillId="0" borderId="18" xfId="0" applyNumberFormat="1" applyFont="1" applyAlignment="1">
      <alignment horizontal="right"/>
    </xf>
    <xf numFmtId="168" fontId="47" fillId="0" borderId="18" xfId="0" applyNumberFormat="1" applyFont="1" applyAlignment="1">
      <alignment horizontal="right"/>
    </xf>
    <xf numFmtId="168" fontId="45" fillId="0" borderId="18" xfId="0" applyNumberFormat="1" applyFont="1" applyAlignment="1">
      <alignment horizontal="right"/>
    </xf>
    <xf numFmtId="173" fontId="45" fillId="0" borderId="18" xfId="0" applyNumberFormat="1" applyFont="1" applyAlignment="1">
      <alignment horizontal="right"/>
    </xf>
    <xf numFmtId="2" fontId="45" fillId="0" borderId="18" xfId="0" applyNumberFormat="1" applyFont="1" applyAlignment="1">
      <alignment horizontal="right"/>
    </xf>
    <xf numFmtId="0" fontId="45" fillId="0" borderId="15" xfId="0" applyFont="1" applyBorder="1"/>
    <xf numFmtId="164" fontId="45" fillId="0" borderId="18" xfId="0" applyNumberFormat="1" applyFont="1" applyAlignment="1">
      <alignment horizontal="right"/>
    </xf>
    <xf numFmtId="0" fontId="48" fillId="0" borderId="15" xfId="0" applyFont="1" applyBorder="1" applyAlignment="1">
      <alignment indent="1"/>
    </xf>
    <xf numFmtId="172" fontId="48" fillId="0" borderId="19" xfId="0" applyNumberFormat="1" applyFont="1" applyBorder="1" applyAlignment="1">
      <alignment horizontal="right"/>
    </xf>
    <xf numFmtId="0" fontId="45" fillId="0" borderId="18" xfId="0" applyFont="1"/>
    <xf numFmtId="0" fontId="49" fillId="7" borderId="20" xfId="0" applyFont="1" applyFill="1" applyBorder="1"/>
    <xf numFmtId="0" fontId="45" fillId="7" borderId="20" xfId="0" applyFont="1" applyFill="1" applyBorder="1"/>
    <xf numFmtId="0" fontId="46" fillId="0" borderId="18" xfId="0" applyFont="1"/>
    <xf numFmtId="166" fontId="48" fillId="0" borderId="21" xfId="0" applyNumberFormat="1" applyFont="1" applyBorder="1" applyAlignment="1">
      <alignment horizontal="right"/>
    </xf>
    <xf numFmtId="0" fontId="45" fillId="0" borderId="18" xfId="0" applyFont="1" applyAlignment="1">
      <alignment indent="1"/>
    </xf>
    <xf numFmtId="0" fontId="48" fillId="0" borderId="18" xfId="0" applyFont="1" applyAlignment="1">
      <alignment indent="1"/>
    </xf>
    <xf numFmtId="168" fontId="48" fillId="0" borderId="19" xfId="0" applyNumberFormat="1" applyFont="1" applyBorder="1" applyAlignment="1">
      <alignment horizontal="right"/>
    </xf>
    <xf numFmtId="0" fontId="48" fillId="0" borderId="21" xfId="0" applyFont="1" applyBorder="1" applyAlignment="1">
      <alignment horizontal="right"/>
    </xf>
    <xf numFmtId="164" fontId="45" fillId="0" borderId="19" xfId="0" applyNumberFormat="1" applyFont="1" applyBorder="1" applyAlignment="1">
      <alignment horizontal="right"/>
    </xf>
    <xf numFmtId="0" fontId="48" fillId="0" borderId="18" xfId="0" applyFont="1" applyAlignment="1">
      <alignment horizontal="right"/>
    </xf>
    <xf numFmtId="165" fontId="45" fillId="0" borderId="18" xfId="0" applyNumberFormat="1" applyFont="1" applyAlignment="1">
      <alignment horizontal="right"/>
    </xf>
    <xf numFmtId="172" fontId="45" fillId="0" borderId="21" xfId="0" applyNumberFormat="1" applyFont="1" applyBorder="1" applyAlignment="1">
      <alignment horizontal="right"/>
    </xf>
    <xf numFmtId="0" fontId="50" fillId="0" borderId="18" xfId="0" applyFont="1"/>
    <xf numFmtId="174" fontId="45" fillId="0" borderId="18" xfId="0" applyNumberFormat="1" applyFont="1" applyAlignment="1">
      <alignment horizontal="right"/>
    </xf>
    <xf numFmtId="0" fontId="45" fillId="0" borderId="19" xfId="0" applyFont="1" applyBorder="1"/>
    <xf numFmtId="164" fontId="51" fillId="0" borderId="19" xfId="0" applyNumberFormat="1" applyFont="1" applyBorder="1" applyAlignment="1">
      <alignment horizontal="right"/>
    </xf>
    <xf numFmtId="164" fontId="51" fillId="0" borderId="18" xfId="0" applyNumberFormat="1" applyFont="1" applyAlignment="1">
      <alignment horizontal="right"/>
    </xf>
    <xf numFmtId="0" fontId="48" fillId="0" borderId="19" xfId="0" applyFont="1" applyBorder="1"/>
    <xf numFmtId="0" fontId="46" fillId="0" borderId="19" xfId="0" applyFont="1" applyBorder="1" applyAlignment="1">
      <alignment horizontal="right"/>
    </xf>
    <xf numFmtId="0" fontId="46" fillId="0" borderId="18" xfId="0" applyFont="1" applyAlignment="1">
      <alignment horizontal="right"/>
    </xf>
    <xf numFmtId="169" fontId="45" fillId="0" borderId="18" xfId="0" applyNumberFormat="1" applyFont="1" applyAlignment="1">
      <alignment horizontal="right"/>
    </xf>
    <xf numFmtId="0" fontId="48" fillId="0" borderId="18" xfId="0" applyFont="1"/>
    <xf numFmtId="0" fontId="51" fillId="0" borderId="18" xfId="0" applyFont="1"/>
    <xf numFmtId="175" fontId="51" fillId="0" borderId="18" xfId="0" applyNumberFormat="1" applyFont="1" applyAlignment="1">
      <alignment horizontal="right"/>
    </xf>
    <xf numFmtId="175" fontId="45" fillId="0" borderId="19" xfId="0" applyNumberFormat="1" applyFont="1" applyBorder="1" applyAlignment="1">
      <alignment horizontal="right"/>
    </xf>
    <xf numFmtId="0" fontId="48" fillId="0" borderId="19" xfId="0" applyFont="1" applyBorder="1" applyAlignment="1">
      <alignment horizontal="right"/>
    </xf>
    <xf numFmtId="165" fontId="52" fillId="0" borderId="18" xfId="0" applyNumberFormat="1" applyFont="1" applyAlignment="1">
      <alignment horizontal="right"/>
    </xf>
    <xf numFmtId="0" fontId="6" fillId="0" borderId="18" xfId="0" applyFont="1" applyAlignment="1">
      <alignment indent="1"/>
    </xf>
    <xf numFmtId="174" fontId="6" fillId="0" borderId="22" xfId="0" applyNumberFormat="1" applyFont="1" applyBorder="1" applyAlignment="1">
      <alignment horizontal="right"/>
    </xf>
    <xf numFmtId="175" fontId="45" fillId="0" borderId="0" xfId="0" applyNumberFormat="1" applyFont="1" applyBorder="1" applyAlignment="1">
      <alignment horizontal="right"/>
    </xf>
    <xf numFmtId="164" fontId="51" fillId="0" borderId="23" xfId="0" applyNumberFormat="1" applyFont="1" applyBorder="1" applyAlignment="1">
      <alignment horizontal="right"/>
    </xf>
    <xf numFmtId="0" fontId="54" fillId="0" borderId="0" xfId="0" applyFont="1" applyBorder="1"/>
    <xf numFmtId="0" fontId="5" fillId="7" borderId="20" xfId="0" applyFont="1" applyFill="1" applyBorder="1"/>
    <xf numFmtId="176" fontId="47" fillId="0" borderId="18" xfId="0" applyNumberFormat="1" applyFont="1" applyAlignment="1">
      <alignment horizontal="right"/>
    </xf>
    <xf numFmtId="169" fontId="47" fillId="0" borderId="18" xfId="0" applyNumberFormat="1" applyFont="1" applyAlignment="1">
      <alignment horizontal="right"/>
    </xf>
    <xf numFmtId="175" fontId="47" fillId="0" borderId="18" xfId="0" applyNumberFormat="1" applyFont="1" applyAlignment="1">
      <alignment horizontal="right"/>
    </xf>
    <xf numFmtId="172" fontId="48" fillId="0" borderId="21" xfId="0" applyNumberFormat="1" applyFont="1" applyBorder="1" applyAlignment="1">
      <alignment horizontal="right"/>
    </xf>
    <xf numFmtId="172" fontId="55" fillId="0" borderId="21" xfId="0" applyNumberFormat="1" applyFont="1" applyBorder="1" applyAlignment="1">
      <alignment horizontal="right"/>
    </xf>
    <xf numFmtId="175" fontId="48" fillId="0" borderId="21" xfId="0" applyNumberFormat="1" applyFont="1" applyBorder="1" applyAlignment="1">
      <alignment horizontal="right"/>
    </xf>
    <xf numFmtId="172" fontId="48" fillId="0" borderId="24" xfId="0" applyNumberFormat="1" applyFont="1" applyBorder="1" applyAlignment="1">
      <alignment horizontal="right"/>
    </xf>
    <xf numFmtId="168" fontId="48" fillId="3" borderId="18" xfId="0" applyNumberFormat="1" applyFont="1" applyFill="1" applyAlignment="1">
      <alignment horizontal="right"/>
    </xf>
    <xf numFmtId="177" fontId="48" fillId="3" borderId="18" xfId="0" applyNumberFormat="1" applyFont="1" applyFill="1" applyAlignment="1">
      <alignment horizontal="right"/>
    </xf>
    <xf numFmtId="177" fontId="45" fillId="0" borderId="18" xfId="0" applyNumberFormat="1" applyFont="1" applyAlignment="1">
      <alignment horizontal="right"/>
    </xf>
    <xf numFmtId="165" fontId="47" fillId="0" borderId="18" xfId="0" applyNumberFormat="1" applyFont="1" applyAlignment="1">
      <alignment horizontal="right"/>
    </xf>
    <xf numFmtId="9" fontId="47" fillId="0" borderId="18" xfId="0" applyNumberFormat="1" applyFont="1" applyAlignment="1">
      <alignment horizontal="right"/>
    </xf>
    <xf numFmtId="177" fontId="48" fillId="0" borderId="18" xfId="0" applyNumberFormat="1" applyFont="1" applyAlignment="1">
      <alignment horizontal="right"/>
    </xf>
    <xf numFmtId="171" fontId="45" fillId="0" borderId="18" xfId="0" applyNumberFormat="1" applyFont="1" applyAlignment="1">
      <alignment horizontal="right"/>
    </xf>
    <xf numFmtId="171" fontId="48" fillId="0" borderId="19" xfId="0" applyNumberFormat="1" applyFont="1" applyBorder="1" applyAlignment="1">
      <alignment horizontal="right"/>
    </xf>
    <xf numFmtId="171" fontId="46" fillId="0" borderId="25" xfId="0" applyNumberFormat="1" applyFont="1" applyBorder="1" applyAlignment="1">
      <alignment horizontal="right"/>
    </xf>
    <xf numFmtId="171" fontId="48" fillId="3" borderId="18" xfId="0" applyNumberFormat="1" applyFont="1" applyFill="1" applyAlignment="1">
      <alignment horizontal="right"/>
    </xf>
    <xf numFmtId="168" fontId="0" fillId="0" borderId="0" xfId="0" applyNumberFormat="1" applyBorder="1"/>
    <xf numFmtId="169" fontId="4" fillId="0" borderId="4" xfId="0" applyNumberFormat="1" applyFont="1" applyBorder="1"/>
    <xf numFmtId="171" fontId="30" fillId="0" borderId="9" xfId="0" applyNumberFormat="1" applyFont="1" applyBorder="1" applyAlignment="1">
      <alignment horizontal="right"/>
    </xf>
    <xf numFmtId="171" fontId="22" fillId="0" borderId="0" xfId="0" applyNumberFormat="1" applyFont="1" applyBorder="1" applyAlignment="1">
      <alignment horizontal="right"/>
    </xf>
    <xf numFmtId="171" fontId="4" fillId="0" borderId="4" xfId="0" applyNumberFormat="1" applyFont="1" applyBorder="1" applyAlignment="1">
      <alignment horizontal="right"/>
    </xf>
    <xf numFmtId="171" fontId="4" fillId="0" borderId="8" xfId="0" applyNumberFormat="1" applyFont="1" applyBorder="1" applyAlignment="1">
      <alignment horizontal="right"/>
    </xf>
    <xf numFmtId="171" fontId="2" fillId="0" borderId="0" xfId="0" applyNumberFormat="1" applyFont="1" applyBorder="1" applyAlignment="1">
      <alignment horizontal="right"/>
    </xf>
    <xf numFmtId="171" fontId="6" fillId="0" borderId="0" xfId="0" applyNumberFormat="1" applyFont="1" applyBorder="1" applyAlignment="1">
      <alignment horizontal="right"/>
    </xf>
    <xf numFmtId="171" fontId="22" fillId="0" borderId="5" xfId="0" applyNumberFormat="1" applyFont="1" applyBorder="1" applyAlignment="1">
      <alignment horizontal="right"/>
    </xf>
    <xf numFmtId="171" fontId="23" fillId="0" borderId="8" xfId="0" applyNumberFormat="1" applyFont="1" applyBorder="1" applyAlignment="1">
      <alignment horizontal="right"/>
    </xf>
    <xf numFmtId="171" fontId="34" fillId="0" borderId="14" xfId="0" applyNumberFormat="1" applyFont="1" applyBorder="1" applyAlignment="1">
      <alignment horizontal="right"/>
    </xf>
    <xf numFmtId="171" fontId="33" fillId="0" borderId="11" xfId="0" applyNumberFormat="1" applyFont="1" applyBorder="1" applyAlignment="1">
      <alignment horizontal="right"/>
    </xf>
    <xf numFmtId="171" fontId="47" fillId="0" borderId="11" xfId="0" applyNumberFormat="1" applyFont="1" applyBorder="1" applyAlignment="1">
      <alignment horizontal="right"/>
    </xf>
    <xf numFmtId="171" fontId="4" fillId="0" borderId="0" xfId="0" applyNumberFormat="1" applyFont="1" applyBorder="1" applyAlignment="1">
      <alignment horizontal="right"/>
    </xf>
    <xf numFmtId="175" fontId="31" fillId="0" borderId="11" xfId="0" applyNumberFormat="1" applyFont="1" applyBorder="1" applyAlignment="1">
      <alignment horizontal="right"/>
    </xf>
    <xf numFmtId="171" fontId="40" fillId="0" borderId="15" xfId="0" applyNumberFormat="1" applyFont="1" applyBorder="1" applyAlignment="1">
      <alignment horizontal="right"/>
    </xf>
    <xf numFmtId="171" fontId="44" fillId="0" borderId="17" xfId="0" applyNumberFormat="1" applyFont="1" applyBorder="1" applyAlignment="1">
      <alignment horizontal="right"/>
    </xf>
    <xf numFmtId="175" fontId="34" fillId="0" borderId="11" xfId="0" applyNumberFormat="1" applyFont="1" applyBorder="1" applyAlignment="1">
      <alignment horizontal="right"/>
    </xf>
    <xf numFmtId="171" fontId="45" fillId="0" borderId="22" xfId="0" applyNumberFormat="1" applyFont="1" applyBorder="1" applyAlignment="1">
      <alignment horizontal="right"/>
    </xf>
    <xf numFmtId="171" fontId="45" fillId="0" borderId="21" xfId="0" applyNumberFormat="1" applyFont="1" applyBorder="1" applyAlignment="1">
      <alignment horizontal="right"/>
    </xf>
    <xf numFmtId="171" fontId="53" fillId="0" borderId="18" xfId="0" applyNumberFormat="1" applyFont="1"/>
    <xf numFmtId="171" fontId="45" fillId="0" borderId="19" xfId="0" applyNumberFormat="1" applyFont="1" applyBorder="1" applyAlignment="1">
      <alignment horizontal="right"/>
    </xf>
    <xf numFmtId="171" fontId="6" fillId="0" borderId="18" xfId="0" applyNumberFormat="1" applyFont="1" applyAlignment="1">
      <alignment horizontal="right"/>
    </xf>
    <xf numFmtId="171" fontId="52" fillId="0" borderId="0" xfId="0" applyNumberFormat="1" applyFont="1" applyBorder="1" applyAlignment="1">
      <alignment horizontal="right"/>
    </xf>
    <xf numFmtId="171" fontId="47" fillId="0" borderId="18" xfId="0" applyNumberFormat="1" applyFont="1" applyAlignment="1">
      <alignment horizontal="right"/>
    </xf>
    <xf numFmtId="171" fontId="7" fillId="0" borderId="0" xfId="0" applyNumberFormat="1" applyFont="1" applyBorder="1" applyAlignment="1">
      <alignment horizontal="right"/>
    </xf>
    <xf numFmtId="171" fontId="3" fillId="0" borderId="3" xfId="0" applyNumberFormat="1" applyFont="1" applyBorder="1" applyAlignment="1">
      <alignment horizontal="right"/>
    </xf>
    <xf numFmtId="169" fontId="3" fillId="0" borderId="3" xfId="0" applyNumberFormat="1" applyFont="1" applyBorder="1" applyAlignment="1">
      <alignment horizontal="right"/>
    </xf>
    <xf numFmtId="175" fontId="7" fillId="0" borderId="0" xfId="0" applyNumberFormat="1" applyFont="1" applyBorder="1" applyAlignment="1">
      <alignment horizontal="right"/>
    </xf>
    <xf numFmtId="171" fontId="7" fillId="0" borderId="0" xfId="0" applyNumberFormat="1" applyFont="1" applyBorder="1"/>
    <xf numFmtId="171" fontId="3" fillId="0" borderId="3" xfId="0" applyNumberFormat="1" applyFont="1" applyBorder="1"/>
    <xf numFmtId="171" fontId="3" fillId="0" borderId="0" xfId="0" applyNumberFormat="1" applyFont="1" applyBorder="1" applyAlignment="1">
      <alignment horizontal="right"/>
    </xf>
    <xf numFmtId="0" fontId="16" fillId="0" borderId="5" xfId="0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67" fontId="34" fillId="0" borderId="23" xfId="0" applyNumberFormat="1" applyFont="1" applyBorder="1" applyAlignment="1">
      <alignment horizontal="right"/>
    </xf>
    <xf numFmtId="0" fontId="0" fillId="0" borderId="0" xfId="0" applyBorder="1" applyAlignment="1">
      <alignment horizontal="left"/>
    </xf>
    <xf numFmtId="168" fontId="44" fillId="0" borderId="18" xfId="0" applyNumberFormat="1" applyFont="1" applyAlignment="1">
      <alignment horizontal="right"/>
    </xf>
    <xf numFmtId="0" fontId="56" fillId="0" borderId="36" xfId="0" applyFont="1" applyBorder="1" applyAlignment="1">
      <alignment horizontal="left" vertical="center"/>
    </xf>
    <xf numFmtId="0" fontId="56" fillId="0" borderId="36" xfId="0" applyFont="1" applyBorder="1" applyAlignment="1">
      <alignment horizontal="right" vertical="center"/>
    </xf>
    <xf numFmtId="0" fontId="57" fillId="0" borderId="35" xfId="0" applyFont="1" applyBorder="1"/>
    <xf numFmtId="0" fontId="58" fillId="0" borderId="0" xfId="0" applyFont="1" applyBorder="1" applyAlignment="1">
      <alignment vertical="center"/>
    </xf>
    <xf numFmtId="0" fontId="59" fillId="0" borderId="0" xfId="0" applyFont="1" applyBorder="1"/>
    <xf numFmtId="165" fontId="0" fillId="0" borderId="0" xfId="0" applyNumberFormat="1" applyBorder="1" applyAlignment="1">
      <alignment horizontal="right"/>
    </xf>
    <xf numFmtId="169" fontId="34" fillId="0" borderId="14" xfId="0" applyNumberFormat="1" applyFont="1" applyBorder="1" applyAlignment="1">
      <alignment horizontal="right"/>
    </xf>
    <xf numFmtId="164" fontId="45" fillId="0" borderId="0" xfId="0" applyNumberFormat="1" applyFont="1" applyBorder="1" applyAlignment="1">
      <alignment horizontal="right"/>
    </xf>
    <xf numFmtId="169" fontId="36" fillId="0" borderId="11" xfId="0" applyNumberFormat="1" applyFont="1" applyBorder="1" applyAlignment="1">
      <alignment horizontal="right"/>
    </xf>
    <xf numFmtId="165" fontId="47" fillId="0" borderId="0" xfId="0" applyNumberFormat="1" applyFont="1" applyBorder="1" applyAlignment="1">
      <alignment horizontal="left" indent="1"/>
    </xf>
    <xf numFmtId="0" fontId="4" fillId="0" borderId="15" xfId="0" applyFont="1" applyBorder="1" applyAlignment="1">
      <alignment indent="1"/>
    </xf>
    <xf numFmtId="0" fontId="56" fillId="0" borderId="3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6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1">
    <cellStyle name="Normal" xfId="0" builtinId="0"/>
  </cellStyles>
  <dxfs count="56">
    <dxf>
      <font>
        <b/>
        <color rgb="FFC00000"/>
      </font>
      <fill>
        <patternFill patternType="solid">
          <fgColor rgb="FFF8D7DA"/>
        </patternFill>
      </fill>
    </dxf>
    <dxf>
      <font>
        <b/>
        <color rgb="FF1E7B34"/>
      </font>
    </dxf>
    <dxf>
      <font>
        <b/>
        <color rgb="FFC00000"/>
      </font>
      <fill>
        <patternFill patternType="solid">
          <fgColor rgb="FFF8D7DA"/>
        </patternFill>
      </fill>
    </dxf>
    <dxf>
      <font>
        <b/>
        <color rgb="FFC00000"/>
      </font>
      <fill>
        <patternFill patternType="solid">
          <fgColor rgb="FFF8D7DA"/>
        </patternFill>
      </fill>
    </dxf>
    <dxf>
      <font>
        <b/>
        <color rgb="FFC00000"/>
      </font>
      <fill>
        <patternFill patternType="solid">
          <fgColor rgb="FFF8D7DA"/>
        </patternFill>
      </fill>
    </dxf>
    <dxf>
      <font>
        <b/>
        <color rgb="FFC00000"/>
      </font>
      <fill>
        <patternFill patternType="solid">
          <fgColor rgb="FFF8D7DA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FFF4CC"/>
          <bgColor rgb="FFFFF4CC"/>
        </patternFill>
      </fill>
    </dxf>
    <dxf>
      <font>
        <b/>
        <color rgb="FFC00000"/>
      </font>
      <fill>
        <patternFill patternType="solid">
          <fgColor rgb="FFF8D7DA"/>
        </patternFill>
      </fill>
    </dxf>
    <dxf>
      <font>
        <b/>
        <color rgb="FF1E7B3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Dashboard!$Q$61</c:f>
              <c:strCache>
                <c:ptCount val="1"/>
                <c:pt idx="0">
                  <c:v>Close</c:v>
                </c:pt>
              </c:strCache>
            </c:strRef>
          </c:tx>
          <c:spPr>
            <a:ln w="15875" cap="rnd">
              <a:solidFill>
                <a:srgbClr val="0B1F3A"/>
              </a:solidFill>
              <a:round/>
            </a:ln>
          </c:spPr>
          <c:marker>
            <c:symbol val="none"/>
          </c:marker>
          <c:dPt>
            <c:idx val="4"/>
            <c:marker>
              <c:symbol val="circle"/>
              <c:size val="5"/>
              <c:spPr>
                <a:solidFill>
                  <a:srgbClr val="ED7D31"/>
                </a:solidFill>
                <a:ln w="9525" cap="rnd">
                  <a:solidFill>
                    <a:srgbClr val="ED7D31"/>
                  </a:solidFill>
                  <a:round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4E5-2A49-B157-0237F5B1B608}"/>
              </c:ext>
            </c:extLst>
          </c:dPt>
          <c:dPt>
            <c:idx val="188"/>
            <c:marker>
              <c:symbol val="circle"/>
              <c:size val="5"/>
              <c:spPr>
                <a:solidFill>
                  <a:srgbClr val="ED7D31"/>
                </a:solidFill>
                <a:ln w="9525" cap="rnd">
                  <a:solidFill>
                    <a:srgbClr val="ED7D31"/>
                  </a:solidFill>
                  <a:round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4E5-2A49-B157-0237F5B1B608}"/>
              </c:ext>
            </c:extLst>
          </c:dPt>
          <c:dPt>
            <c:idx val="249"/>
            <c:marker>
              <c:symbol val="circle"/>
              <c:size val="5"/>
              <c:spPr>
                <a:solidFill>
                  <a:srgbClr val="ED7D31"/>
                </a:solidFill>
                <a:ln w="9525" cap="rnd">
                  <a:solidFill>
                    <a:srgbClr val="ED7D31"/>
                  </a:solidFill>
                  <a:round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4E5-2A49-B157-0237F5B1B608}"/>
              </c:ext>
            </c:extLst>
          </c:dPt>
          <c:dLbls>
            <c:dLbl>
              <c:idx val="4"/>
              <c:numFmt formatCode="&quot;High &quot;#,##0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750" b="1">
                      <a:solidFill>
                        <a:srgbClr val="262626"/>
                      </a:solidFill>
                      <a:latin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E5-2A49-B157-0237F5B1B608}"/>
                </c:ext>
              </c:extLst>
            </c:dLbl>
            <c:dLbl>
              <c:idx val="188"/>
              <c:numFmt formatCode="&quot;Low &quot;#,##0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750" b="1">
                      <a:solidFill>
                        <a:srgbClr val="262626"/>
                      </a:solidFill>
                      <a:latin typeface="Arial"/>
                      <a:cs typeface="Arial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E5-2A49-B157-0237F5B1B608}"/>
                </c:ext>
              </c:extLst>
            </c:dLbl>
            <c:dLbl>
              <c:idx val="249"/>
              <c:numFmt formatCode="&quot;Last &quot;#,##0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750" b="1">
                      <a:solidFill>
                        <a:srgbClr val="262626"/>
                      </a:solidFill>
                      <a:latin typeface="Arial"/>
                      <a:cs typeface="Arial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E5-2A49-B157-0237F5B1B608}"/>
                </c:ext>
              </c:extLst>
            </c:dLbl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Dashboard!$P$62:$P$311</c:f>
              <c:numCache>
                <c:formatCode>dd\.mm\.yyyy</c:formatCode>
                <c:ptCount val="250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45845</c:v>
                </c:pt>
                <c:pt idx="5">
                  <c:v>45846</c:v>
                </c:pt>
                <c:pt idx="6">
                  <c:v>45847</c:v>
                </c:pt>
                <c:pt idx="7">
                  <c:v>45848</c:v>
                </c:pt>
                <c:pt idx="8">
                  <c:v>45849</c:v>
                </c:pt>
                <c:pt idx="9">
                  <c:v>45852</c:v>
                </c:pt>
                <c:pt idx="10">
                  <c:v>45853</c:v>
                </c:pt>
                <c:pt idx="11">
                  <c:v>45854</c:v>
                </c:pt>
                <c:pt idx="12">
                  <c:v>45855</c:v>
                </c:pt>
                <c:pt idx="13">
                  <c:v>45856</c:v>
                </c:pt>
                <c:pt idx="14">
                  <c:v>45859</c:v>
                </c:pt>
                <c:pt idx="15">
                  <c:v>45860</c:v>
                </c:pt>
                <c:pt idx="16">
                  <c:v>45861</c:v>
                </c:pt>
                <c:pt idx="17">
                  <c:v>45862</c:v>
                </c:pt>
                <c:pt idx="18">
                  <c:v>45863</c:v>
                </c:pt>
                <c:pt idx="19">
                  <c:v>45866</c:v>
                </c:pt>
                <c:pt idx="20">
                  <c:v>45867</c:v>
                </c:pt>
                <c:pt idx="21">
                  <c:v>45868</c:v>
                </c:pt>
                <c:pt idx="22">
                  <c:v>45869</c:v>
                </c:pt>
                <c:pt idx="23">
                  <c:v>45870</c:v>
                </c:pt>
                <c:pt idx="24">
                  <c:v>45873</c:v>
                </c:pt>
                <c:pt idx="25">
                  <c:v>45874</c:v>
                </c:pt>
                <c:pt idx="26">
                  <c:v>45875</c:v>
                </c:pt>
                <c:pt idx="27">
                  <c:v>45876</c:v>
                </c:pt>
                <c:pt idx="28">
                  <c:v>45877</c:v>
                </c:pt>
                <c:pt idx="29">
                  <c:v>45880</c:v>
                </c:pt>
                <c:pt idx="30">
                  <c:v>45881</c:v>
                </c:pt>
                <c:pt idx="31">
                  <c:v>45882</c:v>
                </c:pt>
                <c:pt idx="32">
                  <c:v>45883</c:v>
                </c:pt>
                <c:pt idx="33">
                  <c:v>45884</c:v>
                </c:pt>
                <c:pt idx="34">
                  <c:v>45887</c:v>
                </c:pt>
                <c:pt idx="35">
                  <c:v>45888</c:v>
                </c:pt>
                <c:pt idx="36">
                  <c:v>45889</c:v>
                </c:pt>
                <c:pt idx="37">
                  <c:v>45890</c:v>
                </c:pt>
                <c:pt idx="38">
                  <c:v>45891</c:v>
                </c:pt>
                <c:pt idx="39">
                  <c:v>45894</c:v>
                </c:pt>
                <c:pt idx="40">
                  <c:v>45895</c:v>
                </c:pt>
                <c:pt idx="41">
                  <c:v>45896</c:v>
                </c:pt>
                <c:pt idx="42">
                  <c:v>45897</c:v>
                </c:pt>
                <c:pt idx="43">
                  <c:v>45898</c:v>
                </c:pt>
                <c:pt idx="44">
                  <c:v>45901</c:v>
                </c:pt>
                <c:pt idx="45">
                  <c:v>45902</c:v>
                </c:pt>
                <c:pt idx="46">
                  <c:v>45903</c:v>
                </c:pt>
                <c:pt idx="47">
                  <c:v>45904</c:v>
                </c:pt>
                <c:pt idx="48">
                  <c:v>45905</c:v>
                </c:pt>
                <c:pt idx="49">
                  <c:v>45908</c:v>
                </c:pt>
                <c:pt idx="50">
                  <c:v>45909</c:v>
                </c:pt>
                <c:pt idx="51">
                  <c:v>45910</c:v>
                </c:pt>
                <c:pt idx="52">
                  <c:v>45911</c:v>
                </c:pt>
                <c:pt idx="53">
                  <c:v>45912</c:v>
                </c:pt>
                <c:pt idx="54">
                  <c:v>45915</c:v>
                </c:pt>
                <c:pt idx="55">
                  <c:v>45916</c:v>
                </c:pt>
                <c:pt idx="56">
                  <c:v>45917</c:v>
                </c:pt>
                <c:pt idx="57">
                  <c:v>45918</c:v>
                </c:pt>
                <c:pt idx="58">
                  <c:v>45919</c:v>
                </c:pt>
                <c:pt idx="59">
                  <c:v>45922</c:v>
                </c:pt>
                <c:pt idx="60">
                  <c:v>45923</c:v>
                </c:pt>
                <c:pt idx="61">
                  <c:v>45924</c:v>
                </c:pt>
                <c:pt idx="62">
                  <c:v>45925</c:v>
                </c:pt>
                <c:pt idx="63">
                  <c:v>45926</c:v>
                </c:pt>
                <c:pt idx="64">
                  <c:v>45929</c:v>
                </c:pt>
                <c:pt idx="65">
                  <c:v>45930</c:v>
                </c:pt>
                <c:pt idx="66">
                  <c:v>45931</c:v>
                </c:pt>
                <c:pt idx="67">
                  <c:v>45932</c:v>
                </c:pt>
                <c:pt idx="68">
                  <c:v>45933</c:v>
                </c:pt>
                <c:pt idx="69">
                  <c:v>45936</c:v>
                </c:pt>
                <c:pt idx="70">
                  <c:v>45937</c:v>
                </c:pt>
                <c:pt idx="71">
                  <c:v>45938</c:v>
                </c:pt>
                <c:pt idx="72">
                  <c:v>45939</c:v>
                </c:pt>
                <c:pt idx="73">
                  <c:v>45940</c:v>
                </c:pt>
                <c:pt idx="74">
                  <c:v>45943</c:v>
                </c:pt>
                <c:pt idx="75">
                  <c:v>45944</c:v>
                </c:pt>
                <c:pt idx="76">
                  <c:v>45945</c:v>
                </c:pt>
                <c:pt idx="77">
                  <c:v>45946</c:v>
                </c:pt>
                <c:pt idx="78">
                  <c:v>45947</c:v>
                </c:pt>
                <c:pt idx="79">
                  <c:v>45950</c:v>
                </c:pt>
                <c:pt idx="80">
                  <c:v>45951</c:v>
                </c:pt>
                <c:pt idx="81">
                  <c:v>45952</c:v>
                </c:pt>
                <c:pt idx="82">
                  <c:v>45953</c:v>
                </c:pt>
                <c:pt idx="83">
                  <c:v>45954</c:v>
                </c:pt>
                <c:pt idx="84">
                  <c:v>45957</c:v>
                </c:pt>
                <c:pt idx="85">
                  <c:v>45959</c:v>
                </c:pt>
                <c:pt idx="86">
                  <c:v>45960</c:v>
                </c:pt>
                <c:pt idx="87">
                  <c:v>45961</c:v>
                </c:pt>
                <c:pt idx="88">
                  <c:v>45964</c:v>
                </c:pt>
                <c:pt idx="89">
                  <c:v>45965</c:v>
                </c:pt>
                <c:pt idx="90">
                  <c:v>45966</c:v>
                </c:pt>
                <c:pt idx="91">
                  <c:v>45967</c:v>
                </c:pt>
                <c:pt idx="92">
                  <c:v>45968</c:v>
                </c:pt>
                <c:pt idx="93">
                  <c:v>45971</c:v>
                </c:pt>
                <c:pt idx="94">
                  <c:v>45972</c:v>
                </c:pt>
                <c:pt idx="95">
                  <c:v>45973</c:v>
                </c:pt>
                <c:pt idx="96">
                  <c:v>45974</c:v>
                </c:pt>
                <c:pt idx="97">
                  <c:v>45975</c:v>
                </c:pt>
                <c:pt idx="98">
                  <c:v>45979</c:v>
                </c:pt>
                <c:pt idx="99">
                  <c:v>45980</c:v>
                </c:pt>
                <c:pt idx="100">
                  <c:v>45981</c:v>
                </c:pt>
                <c:pt idx="101">
                  <c:v>45982</c:v>
                </c:pt>
                <c:pt idx="102">
                  <c:v>45985</c:v>
                </c:pt>
                <c:pt idx="103">
                  <c:v>45986</c:v>
                </c:pt>
                <c:pt idx="104">
                  <c:v>45987</c:v>
                </c:pt>
                <c:pt idx="105">
                  <c:v>45988</c:v>
                </c:pt>
                <c:pt idx="106">
                  <c:v>45989</c:v>
                </c:pt>
                <c:pt idx="107">
                  <c:v>45992</c:v>
                </c:pt>
                <c:pt idx="108">
                  <c:v>45993</c:v>
                </c:pt>
                <c:pt idx="109">
                  <c:v>45994</c:v>
                </c:pt>
                <c:pt idx="110">
                  <c:v>45995</c:v>
                </c:pt>
                <c:pt idx="111">
                  <c:v>45996</c:v>
                </c:pt>
                <c:pt idx="112">
                  <c:v>45999</c:v>
                </c:pt>
                <c:pt idx="113">
                  <c:v>46000</c:v>
                </c:pt>
                <c:pt idx="114">
                  <c:v>46001</c:v>
                </c:pt>
                <c:pt idx="115">
                  <c:v>46002</c:v>
                </c:pt>
                <c:pt idx="116">
                  <c:v>46003</c:v>
                </c:pt>
                <c:pt idx="117">
                  <c:v>46006</c:v>
                </c:pt>
                <c:pt idx="118">
                  <c:v>46007</c:v>
                </c:pt>
                <c:pt idx="119">
                  <c:v>46008</c:v>
                </c:pt>
                <c:pt idx="120">
                  <c:v>46009</c:v>
                </c:pt>
                <c:pt idx="121">
                  <c:v>46010</c:v>
                </c:pt>
                <c:pt idx="122">
                  <c:v>46013</c:v>
                </c:pt>
                <c:pt idx="123">
                  <c:v>46014</c:v>
                </c:pt>
                <c:pt idx="124">
                  <c:v>46020</c:v>
                </c:pt>
                <c:pt idx="125">
                  <c:v>46021</c:v>
                </c:pt>
                <c:pt idx="126">
                  <c:v>46024</c:v>
                </c:pt>
                <c:pt idx="127">
                  <c:v>46027</c:v>
                </c:pt>
                <c:pt idx="128">
                  <c:v>46028</c:v>
                </c:pt>
                <c:pt idx="129">
                  <c:v>46029</c:v>
                </c:pt>
                <c:pt idx="130">
                  <c:v>46030</c:v>
                </c:pt>
                <c:pt idx="131">
                  <c:v>46031</c:v>
                </c:pt>
                <c:pt idx="132">
                  <c:v>46034</c:v>
                </c:pt>
                <c:pt idx="133">
                  <c:v>46035</c:v>
                </c:pt>
                <c:pt idx="134">
                  <c:v>46036</c:v>
                </c:pt>
                <c:pt idx="135">
                  <c:v>46037</c:v>
                </c:pt>
                <c:pt idx="136">
                  <c:v>46038</c:v>
                </c:pt>
                <c:pt idx="137">
                  <c:v>46041</c:v>
                </c:pt>
                <c:pt idx="138">
                  <c:v>46042</c:v>
                </c:pt>
                <c:pt idx="139">
                  <c:v>46043</c:v>
                </c:pt>
                <c:pt idx="140">
                  <c:v>46044</c:v>
                </c:pt>
                <c:pt idx="141">
                  <c:v>46045</c:v>
                </c:pt>
                <c:pt idx="142">
                  <c:v>46048</c:v>
                </c:pt>
                <c:pt idx="143">
                  <c:v>46049</c:v>
                </c:pt>
                <c:pt idx="144">
                  <c:v>46050</c:v>
                </c:pt>
                <c:pt idx="145">
                  <c:v>46051</c:v>
                </c:pt>
                <c:pt idx="146">
                  <c:v>46052</c:v>
                </c:pt>
                <c:pt idx="147">
                  <c:v>46055</c:v>
                </c:pt>
                <c:pt idx="148">
                  <c:v>46056</c:v>
                </c:pt>
                <c:pt idx="149">
                  <c:v>46057</c:v>
                </c:pt>
                <c:pt idx="150">
                  <c:v>46058</c:v>
                </c:pt>
                <c:pt idx="151">
                  <c:v>46059</c:v>
                </c:pt>
                <c:pt idx="152">
                  <c:v>46062</c:v>
                </c:pt>
                <c:pt idx="153">
                  <c:v>46063</c:v>
                </c:pt>
                <c:pt idx="154">
                  <c:v>46064</c:v>
                </c:pt>
                <c:pt idx="155">
                  <c:v>46065</c:v>
                </c:pt>
                <c:pt idx="156">
                  <c:v>46066</c:v>
                </c:pt>
                <c:pt idx="157">
                  <c:v>46069</c:v>
                </c:pt>
                <c:pt idx="158">
                  <c:v>46070</c:v>
                </c:pt>
                <c:pt idx="159">
                  <c:v>46071</c:v>
                </c:pt>
                <c:pt idx="160">
                  <c:v>46072</c:v>
                </c:pt>
                <c:pt idx="161">
                  <c:v>46073</c:v>
                </c:pt>
                <c:pt idx="162">
                  <c:v>46076</c:v>
                </c:pt>
                <c:pt idx="163">
                  <c:v>46077</c:v>
                </c:pt>
                <c:pt idx="164">
                  <c:v>46078</c:v>
                </c:pt>
                <c:pt idx="165">
                  <c:v>46079</c:v>
                </c:pt>
                <c:pt idx="166">
                  <c:v>46080</c:v>
                </c:pt>
                <c:pt idx="167">
                  <c:v>46083</c:v>
                </c:pt>
                <c:pt idx="168">
                  <c:v>46084</c:v>
                </c:pt>
                <c:pt idx="169">
                  <c:v>46085</c:v>
                </c:pt>
                <c:pt idx="170">
                  <c:v>46086</c:v>
                </c:pt>
                <c:pt idx="171">
                  <c:v>46087</c:v>
                </c:pt>
                <c:pt idx="172">
                  <c:v>46090</c:v>
                </c:pt>
                <c:pt idx="173">
                  <c:v>46091</c:v>
                </c:pt>
                <c:pt idx="174">
                  <c:v>46092</c:v>
                </c:pt>
                <c:pt idx="175">
                  <c:v>46093</c:v>
                </c:pt>
                <c:pt idx="176">
                  <c:v>46094</c:v>
                </c:pt>
                <c:pt idx="177">
                  <c:v>46097</c:v>
                </c:pt>
                <c:pt idx="178">
                  <c:v>46098</c:v>
                </c:pt>
                <c:pt idx="179">
                  <c:v>46099</c:v>
                </c:pt>
                <c:pt idx="180">
                  <c:v>46100</c:v>
                </c:pt>
                <c:pt idx="181">
                  <c:v>46101</c:v>
                </c:pt>
                <c:pt idx="182">
                  <c:v>46104</c:v>
                </c:pt>
                <c:pt idx="183">
                  <c:v>46105</c:v>
                </c:pt>
                <c:pt idx="184">
                  <c:v>46106</c:v>
                </c:pt>
                <c:pt idx="185">
                  <c:v>46107</c:v>
                </c:pt>
                <c:pt idx="186">
                  <c:v>46108</c:v>
                </c:pt>
                <c:pt idx="187">
                  <c:v>46111</c:v>
                </c:pt>
                <c:pt idx="188">
                  <c:v>46112</c:v>
                </c:pt>
                <c:pt idx="189">
                  <c:v>46113</c:v>
                </c:pt>
                <c:pt idx="190">
                  <c:v>46114</c:v>
                </c:pt>
                <c:pt idx="191">
                  <c:v>46119</c:v>
                </c:pt>
                <c:pt idx="192">
                  <c:v>46120</c:v>
                </c:pt>
                <c:pt idx="193">
                  <c:v>46121</c:v>
                </c:pt>
                <c:pt idx="194">
                  <c:v>46122</c:v>
                </c:pt>
                <c:pt idx="195">
                  <c:v>46125</c:v>
                </c:pt>
                <c:pt idx="196">
                  <c:v>46126</c:v>
                </c:pt>
                <c:pt idx="197">
                  <c:v>46127</c:v>
                </c:pt>
                <c:pt idx="198">
                  <c:v>46128</c:v>
                </c:pt>
                <c:pt idx="199">
                  <c:v>46129</c:v>
                </c:pt>
                <c:pt idx="200">
                  <c:v>46132</c:v>
                </c:pt>
                <c:pt idx="201">
                  <c:v>46133</c:v>
                </c:pt>
                <c:pt idx="202">
                  <c:v>46134</c:v>
                </c:pt>
                <c:pt idx="203">
                  <c:v>46135</c:v>
                </c:pt>
                <c:pt idx="204">
                  <c:v>46136</c:v>
                </c:pt>
                <c:pt idx="205">
                  <c:v>46139</c:v>
                </c:pt>
                <c:pt idx="206">
                  <c:v>46140</c:v>
                </c:pt>
                <c:pt idx="207">
                  <c:v>46141</c:v>
                </c:pt>
                <c:pt idx="208">
                  <c:v>46142</c:v>
                </c:pt>
                <c:pt idx="209">
                  <c:v>46146</c:v>
                </c:pt>
                <c:pt idx="210">
                  <c:v>46147</c:v>
                </c:pt>
                <c:pt idx="211">
                  <c:v>46148</c:v>
                </c:pt>
                <c:pt idx="212">
                  <c:v>46149</c:v>
                </c:pt>
                <c:pt idx="213">
                  <c:v>46153</c:v>
                </c:pt>
                <c:pt idx="214">
                  <c:v>46154</c:v>
                </c:pt>
                <c:pt idx="215">
                  <c:v>46155</c:v>
                </c:pt>
                <c:pt idx="216">
                  <c:v>46156</c:v>
                </c:pt>
                <c:pt idx="217">
                  <c:v>46157</c:v>
                </c:pt>
                <c:pt idx="218">
                  <c:v>46160</c:v>
                </c:pt>
                <c:pt idx="219">
                  <c:v>46161</c:v>
                </c:pt>
                <c:pt idx="220">
                  <c:v>46162</c:v>
                </c:pt>
                <c:pt idx="221">
                  <c:v>46163</c:v>
                </c:pt>
                <c:pt idx="222">
                  <c:v>46164</c:v>
                </c:pt>
                <c:pt idx="223">
                  <c:v>46167</c:v>
                </c:pt>
                <c:pt idx="224">
                  <c:v>46168</c:v>
                </c:pt>
                <c:pt idx="225">
                  <c:v>46169</c:v>
                </c:pt>
                <c:pt idx="226">
                  <c:v>46170</c:v>
                </c:pt>
                <c:pt idx="227">
                  <c:v>46171</c:v>
                </c:pt>
                <c:pt idx="228">
                  <c:v>46174</c:v>
                </c:pt>
                <c:pt idx="229">
                  <c:v>46175</c:v>
                </c:pt>
                <c:pt idx="230">
                  <c:v>46176</c:v>
                </c:pt>
                <c:pt idx="231">
                  <c:v>46177</c:v>
                </c:pt>
                <c:pt idx="232">
                  <c:v>46178</c:v>
                </c:pt>
                <c:pt idx="233">
                  <c:v>46181</c:v>
                </c:pt>
                <c:pt idx="234">
                  <c:v>46182</c:v>
                </c:pt>
                <c:pt idx="235">
                  <c:v>46183</c:v>
                </c:pt>
                <c:pt idx="236">
                  <c:v>46184</c:v>
                </c:pt>
                <c:pt idx="237">
                  <c:v>46185</c:v>
                </c:pt>
                <c:pt idx="238">
                  <c:v>46188</c:v>
                </c:pt>
                <c:pt idx="239">
                  <c:v>46189</c:v>
                </c:pt>
                <c:pt idx="240">
                  <c:v>46190</c:v>
                </c:pt>
                <c:pt idx="241">
                  <c:v>46191</c:v>
                </c:pt>
                <c:pt idx="242">
                  <c:v>46192</c:v>
                </c:pt>
                <c:pt idx="243">
                  <c:v>46195</c:v>
                </c:pt>
                <c:pt idx="244">
                  <c:v>46196</c:v>
                </c:pt>
                <c:pt idx="245">
                  <c:v>46197</c:v>
                </c:pt>
                <c:pt idx="246">
                  <c:v>46198</c:v>
                </c:pt>
                <c:pt idx="247">
                  <c:v>46199</c:v>
                </c:pt>
                <c:pt idx="248">
                  <c:v>46202</c:v>
                </c:pt>
                <c:pt idx="249">
                  <c:v>46203</c:v>
                </c:pt>
              </c:numCache>
            </c:numRef>
          </c:cat>
          <c:val>
            <c:numRef>
              <c:f>Dashboard!$Q$62:$Q$311</c:f>
              <c:numCache>
                <c:formatCode>#\ ##0.0_);\(#\ ##0.0\);"–"_)</c:formatCode>
                <c:ptCount val="250"/>
                <c:pt idx="0">
                  <c:v>536</c:v>
                </c:pt>
                <c:pt idx="1">
                  <c:v>536</c:v>
                </c:pt>
                <c:pt idx="2">
                  <c:v>534</c:v>
                </c:pt>
                <c:pt idx="3">
                  <c:v>541</c:v>
                </c:pt>
                <c:pt idx="4">
                  <c:v>546</c:v>
                </c:pt>
                <c:pt idx="5">
                  <c:v>540</c:v>
                </c:pt>
                <c:pt idx="6">
                  <c:v>546</c:v>
                </c:pt>
                <c:pt idx="7">
                  <c:v>544</c:v>
                </c:pt>
                <c:pt idx="8">
                  <c:v>541</c:v>
                </c:pt>
                <c:pt idx="9">
                  <c:v>538</c:v>
                </c:pt>
                <c:pt idx="10">
                  <c:v>540</c:v>
                </c:pt>
                <c:pt idx="11">
                  <c:v>533</c:v>
                </c:pt>
                <c:pt idx="12">
                  <c:v>530</c:v>
                </c:pt>
                <c:pt idx="13">
                  <c:v>510</c:v>
                </c:pt>
                <c:pt idx="14">
                  <c:v>518</c:v>
                </c:pt>
                <c:pt idx="15">
                  <c:v>522</c:v>
                </c:pt>
                <c:pt idx="16">
                  <c:v>524</c:v>
                </c:pt>
                <c:pt idx="17">
                  <c:v>526</c:v>
                </c:pt>
                <c:pt idx="18">
                  <c:v>531</c:v>
                </c:pt>
                <c:pt idx="19">
                  <c:v>526</c:v>
                </c:pt>
                <c:pt idx="20">
                  <c:v>526</c:v>
                </c:pt>
                <c:pt idx="21">
                  <c:v>522</c:v>
                </c:pt>
                <c:pt idx="22">
                  <c:v>520</c:v>
                </c:pt>
                <c:pt idx="23">
                  <c:v>516</c:v>
                </c:pt>
                <c:pt idx="24">
                  <c:v>518</c:v>
                </c:pt>
                <c:pt idx="25">
                  <c:v>520</c:v>
                </c:pt>
                <c:pt idx="26">
                  <c:v>524</c:v>
                </c:pt>
                <c:pt idx="27">
                  <c:v>518</c:v>
                </c:pt>
                <c:pt idx="28">
                  <c:v>526</c:v>
                </c:pt>
                <c:pt idx="29">
                  <c:v>527</c:v>
                </c:pt>
                <c:pt idx="30">
                  <c:v>524</c:v>
                </c:pt>
                <c:pt idx="31">
                  <c:v>524</c:v>
                </c:pt>
                <c:pt idx="32">
                  <c:v>524</c:v>
                </c:pt>
                <c:pt idx="33">
                  <c:v>522</c:v>
                </c:pt>
                <c:pt idx="34">
                  <c:v>526</c:v>
                </c:pt>
                <c:pt idx="35">
                  <c:v>524</c:v>
                </c:pt>
                <c:pt idx="36">
                  <c:v>526</c:v>
                </c:pt>
                <c:pt idx="37">
                  <c:v>525</c:v>
                </c:pt>
                <c:pt idx="38">
                  <c:v>527</c:v>
                </c:pt>
                <c:pt idx="39">
                  <c:v>525</c:v>
                </c:pt>
                <c:pt idx="40">
                  <c:v>527</c:v>
                </c:pt>
                <c:pt idx="41">
                  <c:v>525</c:v>
                </c:pt>
                <c:pt idx="42">
                  <c:v>521</c:v>
                </c:pt>
                <c:pt idx="43">
                  <c:v>522</c:v>
                </c:pt>
                <c:pt idx="44">
                  <c:v>525</c:v>
                </c:pt>
                <c:pt idx="45">
                  <c:v>520</c:v>
                </c:pt>
                <c:pt idx="46">
                  <c:v>516</c:v>
                </c:pt>
                <c:pt idx="47">
                  <c:v>522</c:v>
                </c:pt>
                <c:pt idx="48">
                  <c:v>522</c:v>
                </c:pt>
                <c:pt idx="49">
                  <c:v>524</c:v>
                </c:pt>
                <c:pt idx="50">
                  <c:v>524</c:v>
                </c:pt>
                <c:pt idx="51">
                  <c:v>524</c:v>
                </c:pt>
                <c:pt idx="52">
                  <c:v>517</c:v>
                </c:pt>
                <c:pt idx="53">
                  <c:v>521</c:v>
                </c:pt>
                <c:pt idx="54">
                  <c:v>520</c:v>
                </c:pt>
                <c:pt idx="55">
                  <c:v>518</c:v>
                </c:pt>
                <c:pt idx="56">
                  <c:v>517</c:v>
                </c:pt>
                <c:pt idx="57">
                  <c:v>520</c:v>
                </c:pt>
                <c:pt idx="58">
                  <c:v>520</c:v>
                </c:pt>
                <c:pt idx="59">
                  <c:v>512</c:v>
                </c:pt>
                <c:pt idx="60">
                  <c:v>515</c:v>
                </c:pt>
                <c:pt idx="61">
                  <c:v>515</c:v>
                </c:pt>
                <c:pt idx="62">
                  <c:v>515</c:v>
                </c:pt>
                <c:pt idx="63">
                  <c:v>513</c:v>
                </c:pt>
                <c:pt idx="64">
                  <c:v>506</c:v>
                </c:pt>
                <c:pt idx="65">
                  <c:v>506</c:v>
                </c:pt>
                <c:pt idx="66">
                  <c:v>506</c:v>
                </c:pt>
                <c:pt idx="67">
                  <c:v>507</c:v>
                </c:pt>
                <c:pt idx="68">
                  <c:v>506</c:v>
                </c:pt>
                <c:pt idx="69">
                  <c:v>503</c:v>
                </c:pt>
                <c:pt idx="70">
                  <c:v>502</c:v>
                </c:pt>
                <c:pt idx="71">
                  <c:v>502</c:v>
                </c:pt>
                <c:pt idx="72">
                  <c:v>499</c:v>
                </c:pt>
                <c:pt idx="73">
                  <c:v>504</c:v>
                </c:pt>
                <c:pt idx="74">
                  <c:v>500</c:v>
                </c:pt>
                <c:pt idx="75">
                  <c:v>498</c:v>
                </c:pt>
                <c:pt idx="76">
                  <c:v>500</c:v>
                </c:pt>
                <c:pt idx="77">
                  <c:v>502</c:v>
                </c:pt>
                <c:pt idx="78">
                  <c:v>500</c:v>
                </c:pt>
                <c:pt idx="79">
                  <c:v>499</c:v>
                </c:pt>
                <c:pt idx="80">
                  <c:v>499</c:v>
                </c:pt>
                <c:pt idx="81">
                  <c:v>500</c:v>
                </c:pt>
                <c:pt idx="82">
                  <c:v>496</c:v>
                </c:pt>
                <c:pt idx="83">
                  <c:v>496</c:v>
                </c:pt>
                <c:pt idx="84">
                  <c:v>495</c:v>
                </c:pt>
                <c:pt idx="85">
                  <c:v>493</c:v>
                </c:pt>
                <c:pt idx="86">
                  <c:v>490</c:v>
                </c:pt>
                <c:pt idx="87">
                  <c:v>486</c:v>
                </c:pt>
                <c:pt idx="88">
                  <c:v>490</c:v>
                </c:pt>
                <c:pt idx="89">
                  <c:v>486</c:v>
                </c:pt>
                <c:pt idx="90">
                  <c:v>489</c:v>
                </c:pt>
                <c:pt idx="91">
                  <c:v>487</c:v>
                </c:pt>
                <c:pt idx="92">
                  <c:v>486</c:v>
                </c:pt>
                <c:pt idx="93">
                  <c:v>491</c:v>
                </c:pt>
                <c:pt idx="94">
                  <c:v>492</c:v>
                </c:pt>
                <c:pt idx="95">
                  <c:v>489.5</c:v>
                </c:pt>
                <c:pt idx="96">
                  <c:v>490</c:v>
                </c:pt>
                <c:pt idx="97">
                  <c:v>491</c:v>
                </c:pt>
                <c:pt idx="98">
                  <c:v>487</c:v>
                </c:pt>
                <c:pt idx="99">
                  <c:v>488</c:v>
                </c:pt>
                <c:pt idx="100">
                  <c:v>489</c:v>
                </c:pt>
                <c:pt idx="101">
                  <c:v>480</c:v>
                </c:pt>
                <c:pt idx="102">
                  <c:v>482.5</c:v>
                </c:pt>
                <c:pt idx="103">
                  <c:v>490</c:v>
                </c:pt>
                <c:pt idx="104">
                  <c:v>484</c:v>
                </c:pt>
                <c:pt idx="105">
                  <c:v>484</c:v>
                </c:pt>
                <c:pt idx="106">
                  <c:v>480</c:v>
                </c:pt>
                <c:pt idx="107">
                  <c:v>484</c:v>
                </c:pt>
                <c:pt idx="108">
                  <c:v>484</c:v>
                </c:pt>
                <c:pt idx="109">
                  <c:v>480</c:v>
                </c:pt>
                <c:pt idx="110">
                  <c:v>484</c:v>
                </c:pt>
                <c:pt idx="111">
                  <c:v>484</c:v>
                </c:pt>
                <c:pt idx="112">
                  <c:v>489.5</c:v>
                </c:pt>
                <c:pt idx="113">
                  <c:v>488</c:v>
                </c:pt>
                <c:pt idx="114">
                  <c:v>488</c:v>
                </c:pt>
                <c:pt idx="115">
                  <c:v>486.5</c:v>
                </c:pt>
                <c:pt idx="116">
                  <c:v>489</c:v>
                </c:pt>
                <c:pt idx="117">
                  <c:v>488</c:v>
                </c:pt>
                <c:pt idx="118">
                  <c:v>486</c:v>
                </c:pt>
                <c:pt idx="119">
                  <c:v>485</c:v>
                </c:pt>
                <c:pt idx="120">
                  <c:v>486</c:v>
                </c:pt>
                <c:pt idx="121">
                  <c:v>483</c:v>
                </c:pt>
                <c:pt idx="122">
                  <c:v>486</c:v>
                </c:pt>
                <c:pt idx="123">
                  <c:v>485</c:v>
                </c:pt>
                <c:pt idx="124">
                  <c:v>485</c:v>
                </c:pt>
                <c:pt idx="125">
                  <c:v>483.5</c:v>
                </c:pt>
                <c:pt idx="126">
                  <c:v>483</c:v>
                </c:pt>
                <c:pt idx="127">
                  <c:v>470</c:v>
                </c:pt>
                <c:pt idx="128">
                  <c:v>480</c:v>
                </c:pt>
                <c:pt idx="129">
                  <c:v>475</c:v>
                </c:pt>
                <c:pt idx="130">
                  <c:v>482</c:v>
                </c:pt>
                <c:pt idx="131">
                  <c:v>481</c:v>
                </c:pt>
                <c:pt idx="132">
                  <c:v>481</c:v>
                </c:pt>
                <c:pt idx="133">
                  <c:v>477</c:v>
                </c:pt>
                <c:pt idx="134">
                  <c:v>475.5</c:v>
                </c:pt>
                <c:pt idx="135">
                  <c:v>474</c:v>
                </c:pt>
                <c:pt idx="136">
                  <c:v>480</c:v>
                </c:pt>
                <c:pt idx="137">
                  <c:v>478.5</c:v>
                </c:pt>
                <c:pt idx="138">
                  <c:v>480</c:v>
                </c:pt>
                <c:pt idx="139">
                  <c:v>475</c:v>
                </c:pt>
                <c:pt idx="140">
                  <c:v>479</c:v>
                </c:pt>
                <c:pt idx="141">
                  <c:v>479</c:v>
                </c:pt>
                <c:pt idx="142">
                  <c:v>476</c:v>
                </c:pt>
                <c:pt idx="143">
                  <c:v>480</c:v>
                </c:pt>
                <c:pt idx="144">
                  <c:v>481</c:v>
                </c:pt>
                <c:pt idx="145">
                  <c:v>480</c:v>
                </c:pt>
                <c:pt idx="146">
                  <c:v>478</c:v>
                </c:pt>
                <c:pt idx="147">
                  <c:v>480</c:v>
                </c:pt>
                <c:pt idx="148">
                  <c:v>479.5</c:v>
                </c:pt>
                <c:pt idx="149">
                  <c:v>479.5</c:v>
                </c:pt>
                <c:pt idx="150">
                  <c:v>478</c:v>
                </c:pt>
                <c:pt idx="151">
                  <c:v>480</c:v>
                </c:pt>
                <c:pt idx="152">
                  <c:v>480</c:v>
                </c:pt>
                <c:pt idx="153">
                  <c:v>480</c:v>
                </c:pt>
                <c:pt idx="154">
                  <c:v>480</c:v>
                </c:pt>
                <c:pt idx="155">
                  <c:v>480</c:v>
                </c:pt>
                <c:pt idx="156">
                  <c:v>480</c:v>
                </c:pt>
                <c:pt idx="157">
                  <c:v>480</c:v>
                </c:pt>
                <c:pt idx="158">
                  <c:v>480</c:v>
                </c:pt>
                <c:pt idx="159">
                  <c:v>478</c:v>
                </c:pt>
                <c:pt idx="160">
                  <c:v>480</c:v>
                </c:pt>
                <c:pt idx="161">
                  <c:v>480</c:v>
                </c:pt>
                <c:pt idx="162">
                  <c:v>479</c:v>
                </c:pt>
                <c:pt idx="163">
                  <c:v>479</c:v>
                </c:pt>
                <c:pt idx="164">
                  <c:v>480</c:v>
                </c:pt>
                <c:pt idx="165">
                  <c:v>478</c:v>
                </c:pt>
                <c:pt idx="166">
                  <c:v>477</c:v>
                </c:pt>
                <c:pt idx="167">
                  <c:v>475</c:v>
                </c:pt>
                <c:pt idx="168">
                  <c:v>474</c:v>
                </c:pt>
                <c:pt idx="169">
                  <c:v>469</c:v>
                </c:pt>
                <c:pt idx="170">
                  <c:v>480</c:v>
                </c:pt>
                <c:pt idx="171">
                  <c:v>480</c:v>
                </c:pt>
                <c:pt idx="172">
                  <c:v>468.5</c:v>
                </c:pt>
                <c:pt idx="173">
                  <c:v>475</c:v>
                </c:pt>
                <c:pt idx="174">
                  <c:v>477</c:v>
                </c:pt>
                <c:pt idx="175">
                  <c:v>475.5</c:v>
                </c:pt>
                <c:pt idx="176">
                  <c:v>470</c:v>
                </c:pt>
                <c:pt idx="177">
                  <c:v>474.5</c:v>
                </c:pt>
                <c:pt idx="178">
                  <c:v>475</c:v>
                </c:pt>
                <c:pt idx="179">
                  <c:v>474.5</c:v>
                </c:pt>
                <c:pt idx="180">
                  <c:v>470</c:v>
                </c:pt>
                <c:pt idx="181">
                  <c:v>461.5</c:v>
                </c:pt>
                <c:pt idx="182">
                  <c:v>460</c:v>
                </c:pt>
                <c:pt idx="183">
                  <c:v>462.5</c:v>
                </c:pt>
                <c:pt idx="184">
                  <c:v>462</c:v>
                </c:pt>
                <c:pt idx="185">
                  <c:v>459</c:v>
                </c:pt>
                <c:pt idx="186">
                  <c:v>458.5</c:v>
                </c:pt>
                <c:pt idx="187">
                  <c:v>452</c:v>
                </c:pt>
                <c:pt idx="188">
                  <c:v>450</c:v>
                </c:pt>
                <c:pt idx="189">
                  <c:v>451</c:v>
                </c:pt>
                <c:pt idx="190">
                  <c:v>450</c:v>
                </c:pt>
                <c:pt idx="191">
                  <c:v>450</c:v>
                </c:pt>
                <c:pt idx="192">
                  <c:v>466</c:v>
                </c:pt>
                <c:pt idx="193">
                  <c:v>469</c:v>
                </c:pt>
                <c:pt idx="194">
                  <c:v>467</c:v>
                </c:pt>
                <c:pt idx="195">
                  <c:v>465</c:v>
                </c:pt>
                <c:pt idx="196">
                  <c:v>468</c:v>
                </c:pt>
                <c:pt idx="197">
                  <c:v>473</c:v>
                </c:pt>
                <c:pt idx="198">
                  <c:v>478</c:v>
                </c:pt>
                <c:pt idx="199">
                  <c:v>478</c:v>
                </c:pt>
                <c:pt idx="200">
                  <c:v>475</c:v>
                </c:pt>
                <c:pt idx="201">
                  <c:v>475</c:v>
                </c:pt>
                <c:pt idx="202">
                  <c:v>477.5</c:v>
                </c:pt>
                <c:pt idx="203">
                  <c:v>479</c:v>
                </c:pt>
                <c:pt idx="204">
                  <c:v>479</c:v>
                </c:pt>
                <c:pt idx="205">
                  <c:v>477</c:v>
                </c:pt>
                <c:pt idx="206">
                  <c:v>472</c:v>
                </c:pt>
                <c:pt idx="207">
                  <c:v>476</c:v>
                </c:pt>
                <c:pt idx="208">
                  <c:v>474</c:v>
                </c:pt>
                <c:pt idx="209">
                  <c:v>471</c:v>
                </c:pt>
                <c:pt idx="210">
                  <c:v>472.5</c:v>
                </c:pt>
                <c:pt idx="211">
                  <c:v>474</c:v>
                </c:pt>
                <c:pt idx="212">
                  <c:v>475</c:v>
                </c:pt>
                <c:pt idx="213">
                  <c:v>476</c:v>
                </c:pt>
                <c:pt idx="214">
                  <c:v>476</c:v>
                </c:pt>
                <c:pt idx="215">
                  <c:v>475</c:v>
                </c:pt>
                <c:pt idx="216">
                  <c:v>476</c:v>
                </c:pt>
                <c:pt idx="217">
                  <c:v>486.5</c:v>
                </c:pt>
                <c:pt idx="218">
                  <c:v>493</c:v>
                </c:pt>
                <c:pt idx="219">
                  <c:v>498</c:v>
                </c:pt>
                <c:pt idx="220">
                  <c:v>506</c:v>
                </c:pt>
                <c:pt idx="221">
                  <c:v>505</c:v>
                </c:pt>
                <c:pt idx="222">
                  <c:v>500</c:v>
                </c:pt>
                <c:pt idx="223">
                  <c:v>513</c:v>
                </c:pt>
                <c:pt idx="224">
                  <c:v>518</c:v>
                </c:pt>
                <c:pt idx="225">
                  <c:v>520</c:v>
                </c:pt>
                <c:pt idx="226">
                  <c:v>524</c:v>
                </c:pt>
                <c:pt idx="227">
                  <c:v>525</c:v>
                </c:pt>
                <c:pt idx="228">
                  <c:v>522</c:v>
                </c:pt>
                <c:pt idx="229">
                  <c:v>526</c:v>
                </c:pt>
                <c:pt idx="230">
                  <c:v>525</c:v>
                </c:pt>
                <c:pt idx="231">
                  <c:v>522</c:v>
                </c:pt>
                <c:pt idx="232">
                  <c:v>523</c:v>
                </c:pt>
                <c:pt idx="233">
                  <c:v>523</c:v>
                </c:pt>
                <c:pt idx="234">
                  <c:v>522</c:v>
                </c:pt>
                <c:pt idx="235">
                  <c:v>521</c:v>
                </c:pt>
                <c:pt idx="236">
                  <c:v>520</c:v>
                </c:pt>
                <c:pt idx="237">
                  <c:v>521</c:v>
                </c:pt>
                <c:pt idx="238">
                  <c:v>521</c:v>
                </c:pt>
                <c:pt idx="239">
                  <c:v>521</c:v>
                </c:pt>
                <c:pt idx="240">
                  <c:v>527</c:v>
                </c:pt>
                <c:pt idx="241">
                  <c:v>522</c:v>
                </c:pt>
                <c:pt idx="242">
                  <c:v>525</c:v>
                </c:pt>
                <c:pt idx="243">
                  <c:v>524</c:v>
                </c:pt>
                <c:pt idx="244">
                  <c:v>521</c:v>
                </c:pt>
                <c:pt idx="245">
                  <c:v>520</c:v>
                </c:pt>
                <c:pt idx="246">
                  <c:v>508</c:v>
                </c:pt>
                <c:pt idx="247">
                  <c:v>505</c:v>
                </c:pt>
                <c:pt idx="248">
                  <c:v>502</c:v>
                </c:pt>
                <c:pt idx="249">
                  <c:v>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E5-2A49-B157-0237F5B1B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"/>
        <c:axId val="1102"/>
      </c:lineChart>
      <c:dateAx>
        <c:axId val="1101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low"/>
        <c:spPr>
          <a:ln w="6350" cap="rnd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rial"/>
                <a:cs typeface="Arial"/>
              </a:defRPr>
            </a:pPr>
            <a:endParaRPr lang="en-US"/>
          </a:p>
        </c:txPr>
        <c:crossAx val="1102"/>
        <c:crosses val="autoZero"/>
        <c:auto val="1"/>
        <c:lblOffset val="100"/>
        <c:baseTimeUnit val="days"/>
        <c:majorUnit val="2"/>
        <c:majorTimeUnit val="months"/>
      </c:dateAx>
      <c:valAx>
        <c:axId val="1102"/>
        <c:scaling>
          <c:orientation val="minMax"/>
          <c:max val="560"/>
          <c:min val="420"/>
        </c:scaling>
        <c:delete val="0"/>
        <c:axPos val="l"/>
        <c:majorGridlines>
          <c:spPr>
            <a:ln w="6350" cap="rnd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Arial"/>
                <a:cs typeface="Arial"/>
              </a:defRPr>
            </a:pPr>
            <a:endParaRPr lang="en-US"/>
          </a:p>
        </c:txPr>
        <c:crossAx val="1101"/>
        <c:crosses val="autoZero"/>
        <c:crossBetween val="midCat"/>
        <c:majorUnit val="20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High</c:v>
          </c:tx>
          <c:spPr>
            <a:solidFill>
              <a:srgbClr val="2F5597"/>
            </a:solidFill>
            <a:ln>
              <a:noFill/>
            </a:ln>
          </c:spPr>
          <c:invertIfNegative val="0"/>
          <c:dPt>
            <c:idx val="5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9226-1542-9E7E-178091C48D8B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404040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Dashboard!$P$21:$P$26</c:f>
              <c:strCache>
                <c:ptCount val="6"/>
                <c:pt idx="0">
                  <c:v>DCF (perpetuity growth)</c:v>
                </c:pt>
                <c:pt idx="1">
                  <c:v>DCF (exit multiple)</c:v>
                </c:pt>
                <c:pt idx="2">
                  <c:v>Trading comps (EV / EBITDA)</c:v>
                </c:pt>
                <c:pt idx="3">
                  <c:v>Trading comps (P / E)</c:v>
                </c:pt>
                <c:pt idx="4">
                  <c:v>Precedent transactions (EV / EBITDA)</c:v>
                </c:pt>
                <c:pt idx="5">
                  <c:v>52-week trading range</c:v>
                </c:pt>
              </c:strCache>
            </c:strRef>
          </c:cat>
          <c:val>
            <c:numRef>
              <c:f>Dashboard!$R$21:$R$26</c:f>
              <c:numCache>
                <c:formatCode>#\ ##0.0_);\(#\ ##0.0\);"–"_)</c:formatCode>
                <c:ptCount val="6"/>
                <c:pt idx="0">
                  <c:v>607.77376465410214</c:v>
                </c:pt>
                <c:pt idx="1">
                  <c:v>606.47851317171273</c:v>
                </c:pt>
                <c:pt idx="2">
                  <c:v>632.23580467878628</c:v>
                </c:pt>
                <c:pt idx="3">
                  <c:v>421.90739381904797</c:v>
                </c:pt>
                <c:pt idx="4">
                  <c:v>985.8961893190243</c:v>
                </c:pt>
                <c:pt idx="5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26-1542-9E7E-178091C48D8B}"/>
            </c:ext>
          </c:extLst>
        </c:ser>
        <c:ser>
          <c:idx val="1"/>
          <c:order val="1"/>
          <c:tx>
            <c:v>Low</c:v>
          </c:tx>
          <c:spPr>
            <a:solidFill>
              <a:srgbClr val="FFFFFF"/>
            </a:solidFill>
            <a:ln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404040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Dashboard!$P$21:$P$26</c:f>
              <c:strCache>
                <c:ptCount val="6"/>
                <c:pt idx="0">
                  <c:v>DCF (perpetuity growth)</c:v>
                </c:pt>
                <c:pt idx="1">
                  <c:v>DCF (exit multiple)</c:v>
                </c:pt>
                <c:pt idx="2">
                  <c:v>Trading comps (EV / EBITDA)</c:v>
                </c:pt>
                <c:pt idx="3">
                  <c:v>Trading comps (P / E)</c:v>
                </c:pt>
                <c:pt idx="4">
                  <c:v>Precedent transactions (EV / EBITDA)</c:v>
                </c:pt>
                <c:pt idx="5">
                  <c:v>52-week trading range</c:v>
                </c:pt>
              </c:strCache>
            </c:strRef>
          </c:cat>
          <c:val>
            <c:numRef>
              <c:f>Dashboard!$Q$21:$Q$26</c:f>
              <c:numCache>
                <c:formatCode>#\ ##0.0_);\(#\ ##0.0\);"–"_)</c:formatCode>
                <c:ptCount val="6"/>
                <c:pt idx="0">
                  <c:v>292.45327360734848</c:v>
                </c:pt>
                <c:pt idx="1">
                  <c:v>420.92544849443846</c:v>
                </c:pt>
                <c:pt idx="2">
                  <c:v>200.30552956404566</c:v>
                </c:pt>
                <c:pt idx="3">
                  <c:v>216.7002107524026</c:v>
                </c:pt>
                <c:pt idx="4">
                  <c:v>577.18757933152915</c:v>
                </c:pt>
                <c:pt idx="5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26-1542-9E7E-178091C48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201"/>
        <c:axId val="1202"/>
      </c:barChart>
      <c:scatterChart>
        <c:scatterStyle val="lineMarker"/>
        <c:varyColors val="0"/>
        <c:ser>
          <c:idx val="2"/>
          <c:order val="2"/>
          <c:tx>
            <c:strRef>
              <c:f>Dashboard!$P$27</c:f>
              <c:strCache>
                <c:ptCount val="1"/>
                <c:pt idx="0">
                  <c:v>Average of base values (CZK 460)</c:v>
                </c:pt>
              </c:strCache>
            </c:strRef>
          </c:tx>
          <c:spPr>
            <a:ln w="15875" cap="rnd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 w="15875" cap="rnd">
                <a:solidFill>
                  <a:srgbClr val="ED7D31"/>
                </a:solidFill>
                <a:prstDash val="dash"/>
                <a:round/>
              </a:ln>
            </c:spPr>
          </c:errBars>
          <c:xVal>
            <c:numRef>
              <c:f>Dashboard!$S$27</c:f>
              <c:numCache>
                <c:formatCode>#\ ##0.0_);\(#\ ##0.0\);"–"_)</c:formatCode>
                <c:ptCount val="1"/>
                <c:pt idx="0">
                  <c:v>459.72115156836298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9226-1542-9E7E-178091C48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"/>
        <c:axId val="1204"/>
      </c:scatterChart>
      <c:catAx>
        <c:axId val="12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spPr>
          <a:ln w="6350" cap="rnd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rial"/>
                <a:cs typeface="Arial"/>
              </a:defRPr>
            </a:pPr>
            <a:endParaRPr lang="en-US"/>
          </a:p>
        </c:txPr>
        <c:crossAx val="1202"/>
        <c:crosses val="autoZero"/>
        <c:auto val="1"/>
        <c:lblAlgn val="ctr"/>
        <c:lblOffset val="100"/>
        <c:noMultiLvlLbl val="0"/>
      </c:catAx>
      <c:valAx>
        <c:axId val="1202"/>
        <c:scaling>
          <c:orientation val="minMax"/>
          <c:max val="1200"/>
          <c:min val="0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Arial"/>
                <a:cs typeface="Arial"/>
              </a:defRPr>
            </a:pPr>
            <a:endParaRPr lang="en-US"/>
          </a:p>
        </c:txPr>
        <c:crossAx val="1201"/>
        <c:crosses val="max"/>
        <c:crossBetween val="between"/>
        <c:majorUnit val="200"/>
      </c:valAx>
      <c:valAx>
        <c:axId val="1203"/>
        <c:scaling>
          <c:orientation val="minMax"/>
          <c:max val="1200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crossAx val="1204"/>
        <c:crosses val="autoZero"/>
        <c:crossBetween val="midCat"/>
        <c:majorUnit val="200"/>
      </c:valAx>
      <c:valAx>
        <c:axId val="1204"/>
        <c:scaling>
          <c:orientation val="minMax"/>
          <c:max val="1"/>
          <c:min val="0"/>
        </c:scaling>
        <c:delete val="1"/>
        <c:axPos val="r"/>
        <c:numFmt formatCode="General" sourceLinked="0"/>
        <c:majorTickMark val="none"/>
        <c:minorTickMark val="none"/>
        <c:tickLblPos val="nextTo"/>
        <c:crossAx val="1203"/>
        <c:crosses val="max"/>
        <c:crossBetween val="midCat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 b="0">
              <a:solidFill>
                <a:srgbClr val="404040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Dashboard!$P$34</c:f>
              <c:strCache>
                <c:ptCount val="1"/>
                <c:pt idx="0">
                  <c:v>CzechoSlovakia</c:v>
                </c:pt>
              </c:strCache>
            </c:strRef>
          </c:tx>
          <c:spPr>
            <a:solidFill>
              <a:srgbClr val="0B1F3A"/>
            </a:solidFill>
            <a:ln>
              <a:noFill/>
            </a:ln>
          </c:spPr>
          <c:invertIfNegative val="0"/>
          <c:cat>
            <c:strRef>
              <c:f>Dashboard!$Q$30:$Y$30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Dashboard!$Q$34:$Y$34</c:f>
              <c:numCache>
                <c:formatCode>#\ ##0_);\(#\ ##0\);"–"_)</c:formatCode>
                <c:ptCount val="9"/>
                <c:pt idx="0">
                  <c:v>5735.8540000000003</c:v>
                </c:pt>
                <c:pt idx="1">
                  <c:v>6314.7070000000003</c:v>
                </c:pt>
                <c:pt idx="2">
                  <c:v>7015.5969999999998</c:v>
                </c:pt>
                <c:pt idx="3">
                  <c:v>6542.5219999999999</c:v>
                </c:pt>
                <c:pt idx="4">
                  <c:v>7196.7742000000007</c:v>
                </c:pt>
                <c:pt idx="5">
                  <c:v>7484.6451680000009</c:v>
                </c:pt>
                <c:pt idx="6">
                  <c:v>7746.6077488800001</c:v>
                </c:pt>
                <c:pt idx="7">
                  <c:v>7979.0059813464004</c:v>
                </c:pt>
                <c:pt idx="8">
                  <c:v>8218.3761607867928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4-9E4A-A15C-BE7DFA8A82CB}"/>
            </c:ext>
          </c:extLst>
        </c:ser>
        <c:ser>
          <c:idx val="1"/>
          <c:order val="1"/>
          <c:tx>
            <c:strRef>
              <c:f>Dashboard!$P$35</c:f>
              <c:strCache>
                <c:ptCount val="1"/>
                <c:pt idx="0">
                  <c:v>Adriatic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</c:spPr>
          <c:invertIfNegative val="0"/>
          <c:cat>
            <c:strRef>
              <c:f>Dashboard!$Q$30:$Y$30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Dashboard!$Q$35:$Y$35</c:f>
              <c:numCache>
                <c:formatCode>#\ ##0_);\(#\ ##0\);"–"_)</c:formatCode>
                <c:ptCount val="9"/>
                <c:pt idx="0">
                  <c:v>1413.4829999999999</c:v>
                </c:pt>
                <c:pt idx="1">
                  <c:v>1514.8920000000001</c:v>
                </c:pt>
                <c:pt idx="2">
                  <c:v>1683.172</c:v>
                </c:pt>
                <c:pt idx="3">
                  <c:v>1652.173</c:v>
                </c:pt>
                <c:pt idx="4">
                  <c:v>1685.2164600000001</c:v>
                </c:pt>
                <c:pt idx="5">
                  <c:v>1735.7729538000001</c:v>
                </c:pt>
                <c:pt idx="6">
                  <c:v>1787.846142414</c:v>
                </c:pt>
                <c:pt idx="7">
                  <c:v>1841.48152668642</c:v>
                </c:pt>
                <c:pt idx="8">
                  <c:v>1887.5185648535803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4-9E4A-A15C-BE7DFA8A82CB}"/>
            </c:ext>
          </c:extLst>
        </c:ser>
        <c:ser>
          <c:idx val="2"/>
          <c:order val="2"/>
          <c:tx>
            <c:strRef>
              <c:f>Dashboard!$P$36</c:f>
              <c:strCache>
                <c:ptCount val="1"/>
                <c:pt idx="0">
                  <c:v>Fresh &amp; Herbs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</c:spPr>
          <c:invertIfNegative val="0"/>
          <c:cat>
            <c:strRef>
              <c:f>Dashboard!$Q$30:$Y$30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Dashboard!$Q$36:$Y$36</c:f>
              <c:numCache>
                <c:formatCode>#\ ##0_);\(#\ ##0\);"–"_)</c:formatCode>
                <c:ptCount val="9"/>
                <c:pt idx="0">
                  <c:v>876.84799999999996</c:v>
                </c:pt>
                <c:pt idx="1">
                  <c:v>1026.9179999999999</c:v>
                </c:pt>
                <c:pt idx="2">
                  <c:v>1230.5329999999999</c:v>
                </c:pt>
                <c:pt idx="3">
                  <c:v>1420.817</c:v>
                </c:pt>
                <c:pt idx="4">
                  <c:v>1676.5640599999999</c:v>
                </c:pt>
                <c:pt idx="5">
                  <c:v>1844.220466</c:v>
                </c:pt>
                <c:pt idx="6">
                  <c:v>1991.7581032800001</c:v>
                </c:pt>
                <c:pt idx="7">
                  <c:v>2131.1811705096002</c:v>
                </c:pt>
                <c:pt idx="8">
                  <c:v>2259.0520407401764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04-9E4A-A15C-BE7DFA8A82CB}"/>
            </c:ext>
          </c:extLst>
        </c:ser>
        <c:ser>
          <c:idx val="3"/>
          <c:order val="3"/>
          <c:tx>
            <c:strRef>
              <c:f>Dashboard!$P$37</c:f>
              <c:strCache>
                <c:ptCount val="1"/>
                <c:pt idx="0">
                  <c:v>Beers &amp; Ciders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strRef>
              <c:f>Dashboard!$Q$30:$Y$30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Dashboard!$Q$37:$Y$37</c:f>
              <c:numCache>
                <c:formatCode>#\ ##0_);\(#\ ##0\);"–"_)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1400.375</c:v>
                </c:pt>
                <c:pt idx="3">
                  <c:v>1479.289</c:v>
                </c:pt>
                <c:pt idx="4">
                  <c:v>1420.11744</c:v>
                </c:pt>
                <c:pt idx="5">
                  <c:v>1441.4192016</c:v>
                </c:pt>
                <c:pt idx="6">
                  <c:v>1470.247585632</c:v>
                </c:pt>
                <c:pt idx="7">
                  <c:v>1499.65253734464</c:v>
                </c:pt>
                <c:pt idx="8">
                  <c:v>1529.6455880915328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04-9E4A-A15C-BE7DFA8A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301"/>
        <c:axId val="1302"/>
      </c:barChart>
      <c:lineChart>
        <c:grouping val="standard"/>
        <c:varyColors val="0"/>
        <c:ser>
          <c:idx val="4"/>
          <c:order val="4"/>
          <c:tx>
            <c:strRef>
              <c:f>Dashboard!$P$31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19050" cap="rnd">
              <a:solidFill>
                <a:srgbClr val="ED7D31"/>
              </a:solidFill>
              <a:prstDash val="dash"/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  <a:ln w="9525" cap="rnd">
                <a:solidFill>
                  <a:srgbClr val="ED7D31"/>
                </a:solidFill>
                <a:round/>
              </a:ln>
            </c:spPr>
          </c:marker>
          <c:dLbls>
            <c:dLbl>
              <c:idx val="1"/>
              <c:layout>
                <c:manualLayout>
                  <c:x val="-4.3125169698615233E-2"/>
                  <c:y val="4.47463488551534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04-9E4A-A15C-BE7DFA8A82CB}"/>
                </c:ext>
              </c:extLst>
            </c:dLbl>
            <c:dLbl>
              <c:idx val="3"/>
              <c:layout>
                <c:manualLayout>
                  <c:x val="-2.9148791745859406E-2"/>
                  <c:y val="-8.74162630497634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04-9E4A-A15C-BE7DFA8A82CB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ED7D31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Dashboard!$Q$30:$Y$30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Dashboard!$Q$31:$Y$31</c:f>
              <c:numCache>
                <c:formatCode>0.0%_);\(0.0%\);"–"_)</c:formatCode>
                <c:ptCount val="9"/>
                <c:pt idx="1">
                  <c:v>0.10346534804332119</c:v>
                </c:pt>
                <c:pt idx="2">
                  <c:v>0.27523839475780676</c:v>
                </c:pt>
                <c:pt idx="3">
                  <c:v>-2.9563832295625203E-2</c:v>
                </c:pt>
                <c:pt idx="4">
                  <c:v>6.9292779018828687E-2</c:v>
                </c:pt>
                <c:pt idx="5">
                  <c:v>4.4027052611146811E-2</c:v>
                </c:pt>
                <c:pt idx="6">
                  <c:v>3.9213139669133534E-2</c:v>
                </c:pt>
                <c:pt idx="7">
                  <c:v>3.4998888187505184E-2</c:v>
                </c:pt>
                <c:pt idx="8">
                  <c:v>3.295372487733661E-2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04-9E4A-A15C-BE7DFA8A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"/>
        <c:axId val="1304"/>
      </c:lineChart>
      <c:catAx>
        <c:axId val="13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 cap="rnd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rial"/>
                <a:cs typeface="Arial"/>
              </a:defRPr>
            </a:pPr>
            <a:endParaRPr lang="en-US"/>
          </a:p>
        </c:txPr>
        <c:crossAx val="1302"/>
        <c:crosses val="autoZero"/>
        <c:auto val="1"/>
        <c:lblAlgn val="ctr"/>
        <c:lblOffset val="100"/>
        <c:noMultiLvlLbl val="0"/>
      </c:catAx>
      <c:valAx>
        <c:axId val="1302"/>
        <c:scaling>
          <c:orientation val="minMax"/>
        </c:scaling>
        <c:delete val="0"/>
        <c:axPos val="l"/>
        <c:majorGridlines>
          <c:spPr>
            <a:ln w="6350" cap="rnd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Arial"/>
                <a:cs typeface="Arial"/>
              </a:defRPr>
            </a:pPr>
            <a:endParaRPr lang="en-US"/>
          </a:p>
        </c:txPr>
        <c:crossAx val="1301"/>
        <c:crosses val="autoZero"/>
        <c:crossBetween val="between"/>
      </c:valAx>
      <c:catAx>
        <c:axId val="130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low"/>
        <c:crossAx val="1304"/>
        <c:crosses val="autoZero"/>
        <c:auto val="1"/>
        <c:lblAlgn val="ctr"/>
        <c:lblOffset val="100"/>
        <c:noMultiLvlLbl val="0"/>
      </c:catAx>
      <c:valAx>
        <c:axId val="130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Arial"/>
                <a:cs typeface="Arial"/>
              </a:defRPr>
            </a:pPr>
            <a:endParaRPr lang="en-US"/>
          </a:p>
        </c:txPr>
        <c:crossAx val="1303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Dashboard!$P$41</c:f>
              <c:strCache>
                <c:ptCount val="1"/>
                <c:pt idx="0">
                  <c:v>Adjusted EBITDA</c:v>
                </c:pt>
              </c:strCache>
            </c:strRef>
          </c:tx>
          <c:spPr>
            <a:ln w="19050" cap="rnd">
              <a:solidFill>
                <a:srgbClr val="0B1F3A"/>
              </a:solidFill>
              <a:round/>
            </a:ln>
          </c:spPr>
          <c:marker>
            <c:symbol val="circle"/>
            <c:size val="5"/>
            <c:spPr>
              <a:solidFill>
                <a:srgbClr val="0B1F3A"/>
              </a:solidFill>
              <a:ln w="9525" cap="rnd">
                <a:solidFill>
                  <a:srgbClr val="0B1F3A"/>
                </a:solidFill>
                <a:round/>
              </a:ln>
            </c:spPr>
          </c:marker>
          <c:cat>
            <c:strRef>
              <c:f>Dashboard!$Q$30:$Y$30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Dashboard!$Q$41:$Y$41</c:f>
              <c:numCache>
                <c:formatCode>#\ ##0_);\(#\ ##0\);"–"_)</c:formatCode>
                <c:ptCount val="9"/>
                <c:pt idx="0">
                  <c:v>1110.4310000000003</c:v>
                </c:pt>
                <c:pt idx="1">
                  <c:v>1253.4039999999993</c:v>
                </c:pt>
                <c:pt idx="2">
                  <c:v>1850.9929999999999</c:v>
                </c:pt>
                <c:pt idx="3">
                  <c:v>1816.4429999999998</c:v>
                </c:pt>
                <c:pt idx="4">
                  <c:v>1885.9221448704006</c:v>
                </c:pt>
                <c:pt idx="5">
                  <c:v>1932.9362919296641</c:v>
                </c:pt>
                <c:pt idx="6">
                  <c:v>2021.2093939136362</c:v>
                </c:pt>
                <c:pt idx="7">
                  <c:v>2104.8627438620078</c:v>
                </c:pt>
                <c:pt idx="8">
                  <c:v>2174.2258116277912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0F-9040-B33B-5505939A8785}"/>
            </c:ext>
          </c:extLst>
        </c:ser>
        <c:ser>
          <c:idx val="1"/>
          <c:order val="1"/>
          <c:tx>
            <c:strRef>
              <c:f>Dashboard!$P$42</c:f>
              <c:strCache>
                <c:ptCount val="1"/>
                <c:pt idx="0">
                  <c:v>Free cash flow</c:v>
                </c:pt>
              </c:strCache>
            </c:strRef>
          </c:tx>
          <c:spPr>
            <a:ln w="19050" cap="rnd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  <a:ln w="9525" cap="rnd">
                <a:solidFill>
                  <a:srgbClr val="2F5597"/>
                </a:solidFill>
                <a:round/>
              </a:ln>
            </c:spPr>
          </c:marker>
          <c:cat>
            <c:strRef>
              <c:f>Dashboard!$Q$30:$Y$30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Dashboard!$Q$42:$Y$42</c:f>
              <c:numCache>
                <c:formatCode>#\ ##0_);\(#\ ##0\);"–"_)</c:formatCode>
                <c:ptCount val="9"/>
                <c:pt idx="0">
                  <c:v>189.95600000000016</c:v>
                </c:pt>
                <c:pt idx="1">
                  <c:v>697.24700000000007</c:v>
                </c:pt>
                <c:pt idx="2">
                  <c:v>452.59000000000026</c:v>
                </c:pt>
                <c:pt idx="3">
                  <c:v>-374.65799999999984</c:v>
                </c:pt>
                <c:pt idx="4">
                  <c:v>-20.694986455804667</c:v>
                </c:pt>
                <c:pt idx="5">
                  <c:v>137.09578900292797</c:v>
                </c:pt>
                <c:pt idx="6">
                  <c:v>280.45396302299071</c:v>
                </c:pt>
                <c:pt idx="7">
                  <c:v>375.26213420065255</c:v>
                </c:pt>
                <c:pt idx="8">
                  <c:v>462.03048243539541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0F-9040-B33B-5505939A8785}"/>
            </c:ext>
          </c:extLst>
        </c:ser>
        <c:ser>
          <c:idx val="2"/>
          <c:order val="2"/>
          <c:tx>
            <c:strRef>
              <c:f>Dashboard!$P$43</c:f>
              <c:strCache>
                <c:ptCount val="1"/>
                <c:pt idx="0">
                  <c:v>Dividends paid to owners</c:v>
                </c:pt>
              </c:strCache>
            </c:strRef>
          </c:tx>
          <c:spPr>
            <a:ln w="19050" cap="rnd">
              <a:solidFill>
                <a:srgbClr val="A6A6A6"/>
              </a:solidFill>
              <a:round/>
            </a:ln>
          </c:spPr>
          <c:marker>
            <c:symbol val="circle"/>
            <c:size val="5"/>
            <c:spPr>
              <a:solidFill>
                <a:srgbClr val="A6A6A6"/>
              </a:solidFill>
              <a:ln w="9525" cap="rnd">
                <a:solidFill>
                  <a:srgbClr val="A6A6A6"/>
                </a:solidFill>
                <a:round/>
              </a:ln>
            </c:spPr>
          </c:marker>
          <c:cat>
            <c:strRef>
              <c:f>Dashboard!$Q$30:$Y$30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Dashboard!$Q$43:$Y$43</c:f>
              <c:numCache>
                <c:formatCode>#\ ##0_);\(#\ ##0\);"–"_)</c:formatCode>
                <c:ptCount val="9"/>
                <c:pt idx="0">
                  <c:v>253.012</c:v>
                </c:pt>
                <c:pt idx="1">
                  <c:v>286.601</c:v>
                </c:pt>
                <c:pt idx="2">
                  <c:v>449.83</c:v>
                </c:pt>
                <c:pt idx="3">
                  <c:v>274.83999999999997</c:v>
                </c:pt>
                <c:pt idx="4">
                  <c:v>447.16404599999998</c:v>
                </c:pt>
                <c:pt idx="5">
                  <c:v>448.008351</c:v>
                </c:pt>
                <c:pt idx="6">
                  <c:v>448.008351</c:v>
                </c:pt>
                <c:pt idx="7">
                  <c:v>448.008351</c:v>
                </c:pt>
                <c:pt idx="8">
                  <c:v>448.008351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0F-9040-B33B-5505939A8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"/>
        <c:axId val="1402"/>
      </c:lineChart>
      <c:catAx>
        <c:axId val="14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 cap="rnd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rial"/>
                <a:cs typeface="Arial"/>
              </a:defRPr>
            </a:pPr>
            <a:endParaRPr lang="en-US"/>
          </a:p>
        </c:txPr>
        <c:crossAx val="1402"/>
        <c:crosses val="autoZero"/>
        <c:auto val="1"/>
        <c:lblAlgn val="ctr"/>
        <c:lblOffset val="100"/>
        <c:noMultiLvlLbl val="0"/>
      </c:catAx>
      <c:valAx>
        <c:axId val="1402"/>
        <c:scaling>
          <c:orientation val="minMax"/>
        </c:scaling>
        <c:delete val="0"/>
        <c:axPos val="l"/>
        <c:majorGridlines>
          <c:spPr>
            <a:ln w="6350" cap="rnd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Arial"/>
                <a:cs typeface="Arial"/>
              </a:defRPr>
            </a:pPr>
            <a:endParaRPr lang="en-US"/>
          </a:p>
        </c:txPr>
        <c:crossAx val="14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Dashboard!$P$49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>
              <a:solidFill>
                <a:srgbClr val="0B1F3A"/>
              </a:solidFill>
              <a:round/>
            </a:ln>
          </c:spPr>
          <c:marker>
            <c:symbol val="circle"/>
            <c:size val="5"/>
            <c:spPr>
              <a:solidFill>
                <a:srgbClr val="0B1F3A"/>
              </a:solidFill>
              <a:ln w="9525" cap="rnd">
                <a:solidFill>
                  <a:srgbClr val="0B1F3A"/>
                </a:solidFill>
                <a:round/>
              </a:ln>
            </c:spPr>
          </c:marker>
          <c:cat>
            <c:strRef>
              <c:f>Dashboard!$Q$48:$Y$48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Dashboard!$Q$49:$Y$49</c:f>
              <c:numCache>
                <c:formatCode>0.0"x"_);\(0.0"x"\);"–"_)</c:formatCode>
                <c:ptCount val="9"/>
                <c:pt idx="0">
                  <c:v>2.967352316352839</c:v>
                </c:pt>
                <c:pt idx="1">
                  <c:v>2.2815500828144812</c:v>
                </c:pt>
                <c:pt idx="2">
                  <c:v>2.1359735017906609</c:v>
                </c:pt>
                <c:pt idx="3">
                  <c:v>3.0198354696514018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8-0D4C-8022-9F598733706D}"/>
            </c:ext>
          </c:extLst>
        </c:ser>
        <c:ser>
          <c:idx val="1"/>
          <c:order val="1"/>
          <c:tx>
            <c:strRef>
              <c:f>Dashboard!$P$50</c:f>
              <c:strCache>
                <c:ptCount val="1"/>
                <c:pt idx="0">
                  <c:v>Base case</c:v>
                </c:pt>
              </c:strCache>
            </c:strRef>
          </c:tx>
          <c:spPr>
            <a:ln w="19050" cap="rnd">
              <a:solidFill>
                <a:srgbClr val="2F5597"/>
              </a:solidFill>
              <a:prstDash val="dash"/>
              <a:round/>
            </a:ln>
          </c:spPr>
          <c:marker>
            <c:symbol val="none"/>
          </c:marker>
          <c:cat>
            <c:strRef>
              <c:f>Dashboard!$Q$48:$Y$48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Dashboard!$Q$50:$Y$50</c:f>
              <c:numCache>
                <c:formatCode>General</c:formatCode>
                <c:ptCount val="9"/>
                <c:pt idx="3" formatCode="0.0&quot;x&quot;_);\(0.0&quot;x&quot;\);&quot;–&quot;_)">
                  <c:v>3.0198354696514018</c:v>
                </c:pt>
                <c:pt idx="4" formatCode="0.0&quot;x&quot;_);\(0.0&quot;x&quot;\);&quot;–&quot;_)">
                  <c:v>3.5315344146327359</c:v>
                </c:pt>
                <c:pt idx="5" formatCode="0.0&quot;x&quot;_);\(0.0&quot;x&quot;\);&quot;–&quot;_)">
                  <c:v>3.5962100175438061</c:v>
                </c:pt>
                <c:pt idx="6" formatCode="0.0&quot;x&quot;_);\(0.0&quot;x&quot;\);&quot;–&quot;_)">
                  <c:v>3.5204171895231933</c:v>
                </c:pt>
                <c:pt idx="7" formatCode="0.0&quot;x&quot;_);\(0.0&quot;x&quot;\);&quot;–&quot;_)">
                  <c:v>3.4182126824820598</c:v>
                </c:pt>
                <c:pt idx="8" formatCode="0.0&quot;x&quot;_);\(0.0&quot;x&quot;\);&quot;–&quot;_)">
                  <c:v>3.3085778172770857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8-0D4C-8022-9F598733706D}"/>
            </c:ext>
          </c:extLst>
        </c:ser>
        <c:ser>
          <c:idx val="2"/>
          <c:order val="2"/>
          <c:tx>
            <c:strRef>
              <c:f>Dashboard!$P$51</c:f>
              <c:strCache>
                <c:ptCount val="1"/>
                <c:pt idx="0">
                  <c:v>Upside case</c:v>
                </c:pt>
              </c:strCache>
            </c:strRef>
          </c:tx>
          <c:spPr>
            <a:ln w="19050" cap="rnd">
              <a:solidFill>
                <a:srgbClr val="1E7B34"/>
              </a:solidFill>
              <a:prstDash val="dash"/>
              <a:round/>
            </a:ln>
          </c:spPr>
          <c:marker>
            <c:symbol val="none"/>
          </c:marker>
          <c:cat>
            <c:strRef>
              <c:f>Dashboard!$Q$48:$Y$48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Dashboard!$Q$51:$Y$51</c:f>
              <c:numCache>
                <c:formatCode>General</c:formatCode>
                <c:ptCount val="9"/>
                <c:pt idx="3" formatCode="0.0&quot;x&quot;_);\(0.0&quot;x&quot;\);&quot;–&quot;_)">
                  <c:v>3.0198354696514018</c:v>
                </c:pt>
                <c:pt idx="4" formatCode="0.0&quot;x&quot;_);\(0.0&quot;x&quot;\);&quot;–&quot;_)">
                  <c:v>3.2676010300643759</c:v>
                </c:pt>
                <c:pt idx="5" formatCode="0.0&quot;x&quot;_);\(0.0&quot;x&quot;\);&quot;–&quot;_)">
                  <c:v>3.0841249832969453</c:v>
                </c:pt>
                <c:pt idx="6" formatCode="0.0&quot;x&quot;_);\(0.0&quot;x&quot;\);&quot;–&quot;_)">
                  <c:v>2.8729432863546878</c:v>
                </c:pt>
                <c:pt idx="7" formatCode="0.0&quot;x&quot;_);\(0.0&quot;x&quot;\);&quot;–&quot;_)">
                  <c:v>2.6455304553416945</c:v>
                </c:pt>
                <c:pt idx="8" formatCode="0.0&quot;x&quot;_);\(0.0&quot;x&quot;\);&quot;–&quot;_)">
                  <c:v>2.4459359027930421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18-0D4C-8022-9F598733706D}"/>
            </c:ext>
          </c:extLst>
        </c:ser>
        <c:ser>
          <c:idx val="3"/>
          <c:order val="3"/>
          <c:tx>
            <c:strRef>
              <c:f>Dashboard!$P$52</c:f>
              <c:strCache>
                <c:ptCount val="1"/>
                <c:pt idx="0">
                  <c:v>Downside case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cat>
            <c:strRef>
              <c:f>Dashboard!$Q$48:$Y$48</c:f>
              <c:strCache>
                <c:ptCount val="9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2025A</c:v>
                </c:pt>
                <c:pt idx="4">
                  <c:v>2026F</c:v>
                </c:pt>
                <c:pt idx="5">
                  <c:v>2027F</c:v>
                </c:pt>
                <c:pt idx="6">
                  <c:v>2028F</c:v>
                </c:pt>
                <c:pt idx="7">
                  <c:v>2029F</c:v>
                </c:pt>
                <c:pt idx="8">
                  <c:v>2030F</c:v>
                </c:pt>
              </c:strCache>
            </c:strRef>
          </c:cat>
          <c:val>
            <c:numRef>
              <c:f>Dashboard!$Q$52:$Y$52</c:f>
              <c:numCache>
                <c:formatCode>General</c:formatCode>
                <c:ptCount val="9"/>
                <c:pt idx="3" formatCode="0.0&quot;x&quot;_);\(0.0&quot;x&quot;\);&quot;–&quot;_)">
                  <c:v>3.0198354696514018</c:v>
                </c:pt>
                <c:pt idx="4" formatCode="0.0&quot;x&quot;_);\(0.0&quot;x&quot;\);&quot;–&quot;_)">
                  <c:v>4.1700338841333755</c:v>
                </c:pt>
                <c:pt idx="5" formatCode="0.0&quot;x&quot;_);\(0.0&quot;x&quot;\);&quot;–&quot;_)">
                  <c:v>4.2527124255839865</c:v>
                </c:pt>
                <c:pt idx="6" formatCode="0.0&quot;x&quot;_);\(0.0&quot;x&quot;\);&quot;–&quot;_)">
                  <c:v>4.4832942251199306</c:v>
                </c:pt>
                <c:pt idx="7" formatCode="0.0&quot;x&quot;_);\(0.0&quot;x&quot;\);&quot;–&quot;_)">
                  <c:v>4.386406765514316</c:v>
                </c:pt>
                <c:pt idx="8" formatCode="0.0&quot;x&quot;_);\(0.0&quot;x&quot;\);&quot;–&quot;_)">
                  <c:v>4.3019081576461682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18-0D4C-8022-9F598733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"/>
        <c:axId val="1602"/>
      </c:lineChart>
      <c:catAx>
        <c:axId val="16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 cap="rnd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rial"/>
                <a:cs typeface="Arial"/>
              </a:defRPr>
            </a:pPr>
            <a:endParaRPr lang="en-US"/>
          </a:p>
        </c:txPr>
        <c:crossAx val="1602"/>
        <c:crosses val="autoZero"/>
        <c:auto val="1"/>
        <c:lblAlgn val="ctr"/>
        <c:lblOffset val="100"/>
        <c:noMultiLvlLbl val="0"/>
      </c:catAx>
      <c:valAx>
        <c:axId val="1602"/>
        <c:scaling>
          <c:orientation val="minMax"/>
          <c:min val="0"/>
        </c:scaling>
        <c:delete val="0"/>
        <c:axPos val="l"/>
        <c:majorGridlines>
          <c:spPr>
            <a:ln w="6350" cap="rnd">
              <a:solidFill>
                <a:srgbClr val="E7E6E6"/>
              </a:solidFill>
              <a:round/>
            </a:ln>
          </c:spPr>
        </c:majorGridlines>
        <c:numFmt formatCode="0.0&quot;x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Arial"/>
                <a:cs typeface="Arial"/>
              </a:defRPr>
            </a:pPr>
            <a:endParaRPr lang="en-US"/>
          </a:p>
        </c:txPr>
        <c:crossAx val="16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Dashboard!$P$55</c:f>
              <c:strCache>
                <c:ptCount val="1"/>
                <c:pt idx="0">
                  <c:v>DCF (perpetuity growth)</c:v>
                </c:pt>
              </c:strCache>
            </c:strRef>
          </c:tx>
          <c:spPr>
            <a:solidFill>
              <a:srgbClr val="0B1F3A"/>
            </a:solidFill>
            <a:ln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404040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Dashboard!$Q$54:$S$54</c:f>
              <c:strCache>
                <c:ptCount val="3"/>
                <c:pt idx="0">
                  <c:v>Base case</c:v>
                </c:pt>
                <c:pt idx="1">
                  <c:v>Upside case</c:v>
                </c:pt>
                <c:pt idx="2">
                  <c:v>Downside case</c:v>
                </c:pt>
              </c:strCache>
            </c:strRef>
          </c:cat>
          <c:val>
            <c:numRef>
              <c:f>Dashboard!$Q$55:$S$55</c:f>
              <c:numCache>
                <c:formatCode>#\ ##0.0_);\(#\ ##0.0\);"–"_)</c:formatCode>
                <c:ptCount val="3"/>
                <c:pt idx="0">
                  <c:v>415.70731992682198</c:v>
                </c:pt>
                <c:pt idx="1">
                  <c:v>633.04506634948302</c:v>
                </c:pt>
                <c:pt idx="2">
                  <c:v>179.98892062733856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C-3643-82E1-0E89DD05CED8}"/>
            </c:ext>
          </c:extLst>
        </c:ser>
        <c:ser>
          <c:idx val="1"/>
          <c:order val="1"/>
          <c:tx>
            <c:strRef>
              <c:f>Dashboard!$P$56</c:f>
              <c:strCache>
                <c:ptCount val="1"/>
                <c:pt idx="0">
                  <c:v>DCF (exit multiple)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404040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Dashboard!$Q$54:$S$54</c:f>
              <c:strCache>
                <c:ptCount val="3"/>
                <c:pt idx="0">
                  <c:v>Base case</c:v>
                </c:pt>
                <c:pt idx="1">
                  <c:v>Upside case</c:v>
                </c:pt>
                <c:pt idx="2">
                  <c:v>Downside case</c:v>
                </c:pt>
              </c:strCache>
            </c:strRef>
          </c:cat>
          <c:val>
            <c:numRef>
              <c:f>Dashboard!$Q$56:$S$56</c:f>
              <c:numCache>
                <c:formatCode>#\ ##0.0_);\(#\ ##0.0\);"–"_)</c:formatCode>
                <c:ptCount val="3"/>
                <c:pt idx="0">
                  <c:v>511.87858719976845</c:v>
                </c:pt>
                <c:pt idx="1">
                  <c:v>653.96089731447171</c:v>
                </c:pt>
                <c:pt idx="2">
                  <c:v>309.9199330888938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C-3643-82E1-0E89DD05C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8"/>
        <c:axId val="1501"/>
        <c:axId val="1502"/>
      </c:barChart>
      <c:lineChart>
        <c:grouping val="standard"/>
        <c:varyColors val="0"/>
        <c:ser>
          <c:idx val="2"/>
          <c:order val="2"/>
          <c:tx>
            <c:strRef>
              <c:f>Dashboard!$P$57</c:f>
              <c:strCache>
                <c:ptCount val="1"/>
                <c:pt idx="0">
                  <c:v>Share price at 30.06.2026</c:v>
                </c:pt>
              </c:strCache>
            </c:strRef>
          </c:tx>
          <c:spPr>
            <a:ln w="15875" cap="rnd">
              <a:solidFill>
                <a:srgbClr val="92D050"/>
              </a:solidFill>
              <a:prstDash val="dash"/>
              <a:round/>
            </a:ln>
          </c:spPr>
          <c:marker>
            <c:symbol val="none"/>
          </c:marker>
          <c:cat>
            <c:strRef>
              <c:f>Dashboard!$Q$54:$S$54</c:f>
              <c:strCache>
                <c:ptCount val="3"/>
                <c:pt idx="0">
                  <c:v>Base case</c:v>
                </c:pt>
                <c:pt idx="1">
                  <c:v>Upside case</c:v>
                </c:pt>
                <c:pt idx="2">
                  <c:v>Downside case</c:v>
                </c:pt>
              </c:strCache>
            </c:strRef>
          </c:cat>
          <c:val>
            <c:numRef>
              <c:f>Dashboard!$Q$57:$S$57</c:f>
              <c:numCache>
                <c:formatCode>#\ ##0.0_);\(#\ ##0.0\);"–"_)</c:formatCode>
                <c:ptCount val="3"/>
                <c:pt idx="0">
                  <c:v>493</c:v>
                </c:pt>
                <c:pt idx="1">
                  <c:v>493</c:v>
                </c:pt>
                <c:pt idx="2">
                  <c:v>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4C-3643-82E1-0E89DD05C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"/>
        <c:axId val="1502"/>
      </c:lineChart>
      <c:catAx>
        <c:axId val="15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 cap="rnd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rial"/>
                <a:cs typeface="Arial"/>
              </a:defRPr>
            </a:pPr>
            <a:endParaRPr lang="en-US"/>
          </a:p>
        </c:txPr>
        <c:crossAx val="1502"/>
        <c:crosses val="autoZero"/>
        <c:auto val="1"/>
        <c:lblAlgn val="ctr"/>
        <c:lblOffset val="100"/>
        <c:noMultiLvlLbl val="0"/>
      </c:catAx>
      <c:valAx>
        <c:axId val="1502"/>
        <c:scaling>
          <c:orientation val="minMax"/>
          <c:min val="0"/>
        </c:scaling>
        <c:delete val="0"/>
        <c:axPos val="l"/>
        <c:majorGridlines>
          <c:spPr>
            <a:ln w="6350" cap="rnd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Arial"/>
                <a:cs typeface="Arial"/>
              </a:defRPr>
            </a:pPr>
            <a:endParaRPr lang="en-US"/>
          </a:p>
        </c:txPr>
        <c:crossAx val="15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04040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pPr>
              <a:defRPr sz="1000" b="1">
                <a:solidFill>
                  <a:srgbClr val="0B1F3A"/>
                </a:solidFill>
                <a:latin typeface="Arial"/>
              </a:defRPr>
            </a:pPr>
            <a:r>
              <a:rPr lang="en-US" sz="1000" b="1">
                <a:solidFill>
                  <a:srgbClr val="0B1F3A"/>
                </a:solidFill>
                <a:latin typeface="Arial"/>
              </a:rPr>
              <a:t>Value per share (CZK)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High</c:v>
          </c:tx>
          <c:spPr>
            <a:solidFill>
              <a:srgbClr val="2F5597"/>
            </a:solidFill>
            <a:ln>
              <a:noFill/>
            </a:ln>
          </c:spPr>
          <c:invertIfNegative val="0"/>
          <c:dPt>
            <c:idx val="5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4B05-D44E-AB32-8C4726BDFD0E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404040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Outputs!$B$40:$B$45</c:f>
              <c:strCache>
                <c:ptCount val="6"/>
                <c:pt idx="0">
                  <c:v>DCF (perpetuity growth)</c:v>
                </c:pt>
                <c:pt idx="1">
                  <c:v>DCF (exit multiple)</c:v>
                </c:pt>
                <c:pt idx="2">
                  <c:v>Trading comps (EV / EBITDA)</c:v>
                </c:pt>
                <c:pt idx="3">
                  <c:v>Trading comps (P / E)</c:v>
                </c:pt>
                <c:pt idx="4">
                  <c:v>Precedent transactions (EV / EBITDA)</c:v>
                </c:pt>
                <c:pt idx="5">
                  <c:v>52-week trading range</c:v>
                </c:pt>
              </c:strCache>
            </c:strRef>
          </c:cat>
          <c:val>
            <c:numRef>
              <c:f>Outputs!$F$40:$F$45</c:f>
              <c:numCache>
                <c:formatCode>#\ ##0.0_);\(#\ ##0.0\);"–"_)</c:formatCode>
                <c:ptCount val="6"/>
                <c:pt idx="0">
                  <c:v>607.77376465410214</c:v>
                </c:pt>
                <c:pt idx="1">
                  <c:v>606.47851317171273</c:v>
                </c:pt>
                <c:pt idx="2">
                  <c:v>632.23580467878628</c:v>
                </c:pt>
                <c:pt idx="3">
                  <c:v>421.90739381904797</c:v>
                </c:pt>
                <c:pt idx="4">
                  <c:v>985.8961893190243</c:v>
                </c:pt>
                <c:pt idx="5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05-D44E-AB32-8C4726BDFD0E}"/>
            </c:ext>
          </c:extLst>
        </c:ser>
        <c:ser>
          <c:idx val="1"/>
          <c:order val="1"/>
          <c:tx>
            <c:v>Low</c:v>
          </c:tx>
          <c:spPr>
            <a:solidFill>
              <a:srgbClr val="FFFFFF"/>
            </a:solidFill>
            <a:ln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404040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Outputs!$B$40:$B$45</c:f>
              <c:strCache>
                <c:ptCount val="6"/>
                <c:pt idx="0">
                  <c:v>DCF (perpetuity growth)</c:v>
                </c:pt>
                <c:pt idx="1">
                  <c:v>DCF (exit multiple)</c:v>
                </c:pt>
                <c:pt idx="2">
                  <c:v>Trading comps (EV / EBITDA)</c:v>
                </c:pt>
                <c:pt idx="3">
                  <c:v>Trading comps (P / E)</c:v>
                </c:pt>
                <c:pt idx="4">
                  <c:v>Precedent transactions (EV / EBITDA)</c:v>
                </c:pt>
                <c:pt idx="5">
                  <c:v>52-week trading range</c:v>
                </c:pt>
              </c:strCache>
            </c:strRef>
          </c:cat>
          <c:val>
            <c:numRef>
              <c:f>Outputs!$D$40:$D$45</c:f>
              <c:numCache>
                <c:formatCode>#\ ##0.0_);\(#\ ##0.0\);"–"_)</c:formatCode>
                <c:ptCount val="6"/>
                <c:pt idx="0">
                  <c:v>292.45327360734848</c:v>
                </c:pt>
                <c:pt idx="1">
                  <c:v>420.92544849443846</c:v>
                </c:pt>
                <c:pt idx="2">
                  <c:v>200.30552956404566</c:v>
                </c:pt>
                <c:pt idx="3">
                  <c:v>216.7002107524026</c:v>
                </c:pt>
                <c:pt idx="4">
                  <c:v>577.18757933152915</c:v>
                </c:pt>
                <c:pt idx="5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05-D44E-AB32-8C4726BDF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201"/>
        <c:axId val="1202"/>
      </c:barChart>
      <c:scatterChart>
        <c:scatterStyle val="lineMarker"/>
        <c:varyColors val="0"/>
        <c:ser>
          <c:idx val="2"/>
          <c:order val="2"/>
          <c:tx>
            <c:v>Average of base values</c:v>
          </c:tx>
          <c:spPr>
            <a:ln w="15875" cap="rnd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 w="15875" cap="rnd">
                <a:solidFill>
                  <a:srgbClr val="ED7D31"/>
                </a:solidFill>
                <a:prstDash val="dash"/>
                <a:round/>
              </a:ln>
            </c:spPr>
          </c:errBars>
          <c:xVal>
            <c:numRef>
              <c:f>Outputs!$G$46</c:f>
              <c:numCache>
                <c:formatCode>#\ ##0.0_);\(#\ ##0.0\);"–"_)</c:formatCode>
                <c:ptCount val="1"/>
                <c:pt idx="0">
                  <c:v>459.72115156836298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B05-D44E-AB32-8C4726BDF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"/>
        <c:axId val="1204"/>
      </c:scatterChart>
      <c:catAx>
        <c:axId val="12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spPr>
          <a:ln w="6350" cap="rnd">
            <a:solidFill>
              <a:srgbClr val="A6A6A6"/>
            </a:solidFill>
            <a:round/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rial"/>
                <a:cs typeface="Arial"/>
              </a:defRPr>
            </a:pPr>
            <a:endParaRPr lang="en-US"/>
          </a:p>
        </c:txPr>
        <c:crossAx val="1202"/>
        <c:crosses val="autoZero"/>
        <c:auto val="1"/>
        <c:lblAlgn val="ctr"/>
        <c:lblOffset val="100"/>
        <c:noMultiLvlLbl val="0"/>
      </c:catAx>
      <c:valAx>
        <c:axId val="1202"/>
        <c:scaling>
          <c:orientation val="minMax"/>
          <c:max val="1200"/>
          <c:min val="0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Arial"/>
                <a:cs typeface="Arial"/>
              </a:defRPr>
            </a:pPr>
            <a:endParaRPr lang="en-US"/>
          </a:p>
        </c:txPr>
        <c:crossAx val="1201"/>
        <c:crosses val="max"/>
        <c:crossBetween val="between"/>
        <c:majorUnit val="200"/>
      </c:valAx>
      <c:valAx>
        <c:axId val="1203"/>
        <c:scaling>
          <c:orientation val="minMax"/>
          <c:max val="1200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crossAx val="1204"/>
        <c:crosses val="autoZero"/>
        <c:crossBetween val="midCat"/>
        <c:majorUnit val="200"/>
      </c:valAx>
      <c:valAx>
        <c:axId val="1204"/>
        <c:scaling>
          <c:orientation val="minMax"/>
          <c:max val="1"/>
          <c:min val="0"/>
        </c:scaling>
        <c:delete val="1"/>
        <c:axPos val="r"/>
        <c:numFmt formatCode="General" sourceLinked="0"/>
        <c:majorTickMark val="none"/>
        <c:minorTickMark val="none"/>
        <c:tickLblPos val="nextTo"/>
        <c:crossAx val="1203"/>
        <c:crosses val="max"/>
        <c:crossBetween val="midCat"/>
      </c:valAx>
      <c:spPr>
        <a:noFill/>
        <a:ln>
          <a:noFill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 b="0">
              <a:solidFill>
                <a:srgbClr val="404040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Lines="3" dropStyle="combo" dx="22" fmlaLink="Outputs!$D$5" fmlaRange="Inputs!$D$131:$D$133" noThreeD="1" sel="1" val="0"/>
</file>

<file path=xl/ctrlProps/ctrlProp2.xml><?xml version="1.0" encoding="utf-8"?>
<formControlPr xmlns="http://schemas.microsoft.com/office/spreadsheetml/2009/9/main" objectType="Drop" dropLines="3" dropStyle="combo" dx="22" fmlaLink="Outputs!$D$5" fmlaRange="Inputs!$D$131:$D$133" noThreeD="1" sel="1" val="0"/>
</file>

<file path=xl/ctrlProps/ctrlProp3.xml><?xml version="1.0" encoding="utf-8"?>
<formControlPr xmlns="http://schemas.microsoft.com/office/spreadsheetml/2009/9/main" objectType="Drop" dropLines="3" dropStyle="combo" dx="22" fmlaLink="Outputs!$D$5" fmlaRange="Inputs!$D$131:$D$133" noThreeD="1" sel="1" val="0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50800</xdr:colOff>
          <xdr:row>2</xdr:row>
          <xdr:rowOff>63500</xdr:rowOff>
        </xdr:from>
        <xdr:to>
          <xdr:col>6</xdr:col>
          <xdr:colOff>152400</xdr:colOff>
          <xdr:row>2</xdr:row>
          <xdr:rowOff>254000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28575</xdr:rowOff>
    </xdr:from>
    <xdr:to>
      <xdr:col>7</xdr:col>
      <xdr:colOff>0</xdr:colOff>
      <xdr:row>33</xdr:row>
      <xdr:rowOff>0</xdr:rowOff>
    </xdr:to>
    <xdr:graphicFrame macro="">
      <xdr:nvGraphicFramePr>
        <xdr:cNvPr id="2" name="Share pric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28575</xdr:rowOff>
    </xdr:from>
    <xdr:to>
      <xdr:col>14</xdr:col>
      <xdr:colOff>0</xdr:colOff>
      <xdr:row>33</xdr:row>
      <xdr:rowOff>0</xdr:rowOff>
    </xdr:to>
    <xdr:graphicFrame macro="">
      <xdr:nvGraphicFramePr>
        <xdr:cNvPr id="3" name="Football fiel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28575</xdr:rowOff>
    </xdr:from>
    <xdr:to>
      <xdr:col>7</xdr:col>
      <xdr:colOff>0</xdr:colOff>
      <xdr:row>51</xdr:row>
      <xdr:rowOff>0</xdr:rowOff>
    </xdr:to>
    <xdr:graphicFrame macro="">
      <xdr:nvGraphicFramePr>
        <xdr:cNvPr id="4" name="Revenue by segmen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35</xdr:row>
      <xdr:rowOff>28575</xdr:rowOff>
    </xdr:from>
    <xdr:to>
      <xdr:col>14</xdr:col>
      <xdr:colOff>0</xdr:colOff>
      <xdr:row>51</xdr:row>
      <xdr:rowOff>0</xdr:rowOff>
    </xdr:to>
    <xdr:graphicFrame macro="">
      <xdr:nvGraphicFramePr>
        <xdr:cNvPr id="5" name="EBITDA, FCF and dividends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53</xdr:row>
      <xdr:rowOff>28575</xdr:rowOff>
    </xdr:from>
    <xdr:to>
      <xdr:col>7</xdr:col>
      <xdr:colOff>0</xdr:colOff>
      <xdr:row>69</xdr:row>
      <xdr:rowOff>0</xdr:rowOff>
    </xdr:to>
    <xdr:graphicFrame macro="">
      <xdr:nvGraphicFramePr>
        <xdr:cNvPr id="6" name="Net debt to EBITDA by scenari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53</xdr:row>
      <xdr:rowOff>28575</xdr:rowOff>
    </xdr:from>
    <xdr:to>
      <xdr:col>14</xdr:col>
      <xdr:colOff>0</xdr:colOff>
      <xdr:row>69</xdr:row>
      <xdr:rowOff>0</xdr:rowOff>
    </xdr:to>
    <xdr:graphicFrame macro="">
      <xdr:nvGraphicFramePr>
        <xdr:cNvPr id="7" name="Value by scenari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1206500</xdr:colOff>
          <xdr:row>4</xdr:row>
          <xdr:rowOff>12700</xdr:rowOff>
        </xdr:from>
        <xdr:to>
          <xdr:col>1</xdr:col>
          <xdr:colOff>2374900</xdr:colOff>
          <xdr:row>4</xdr:row>
          <xdr:rowOff>203200</xdr:rowOff>
        </xdr:to>
        <xdr:sp macro="" textlink="">
          <xdr:nvSpPr>
            <xdr:cNvPr id="2049" name="Drop Down 2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13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3" name="Football fiel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1206500</xdr:colOff>
          <xdr:row>18</xdr:row>
          <xdr:rowOff>12700</xdr:rowOff>
        </xdr:from>
        <xdr:to>
          <xdr:col>1</xdr:col>
          <xdr:colOff>2374900</xdr:colOff>
          <xdr:row>18</xdr:row>
          <xdr:rowOff>203200</xdr:rowOff>
        </xdr:to>
        <xdr:sp macro="" textlink="">
          <xdr:nvSpPr>
            <xdr:cNvPr id="3073" name="Drop Down 3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72ED-D4AA-D542-918D-CBECF57EC580}">
  <sheetPr>
    <outlinePr summaryBelow="0"/>
  </sheetPr>
  <dimension ref="A1:H29"/>
  <sheetViews>
    <sheetView showGridLines="0" workbookViewId="0"/>
  </sheetViews>
  <sheetFormatPr baseColWidth="10" defaultColWidth="8.83203125" defaultRowHeight="13" x14ac:dyDescent="0.15"/>
  <cols>
    <col min="1" max="1" width="2" customWidth="1"/>
    <col min="2" max="2" width="46" customWidth="1"/>
    <col min="3" max="6" width="14" customWidth="1"/>
    <col min="7" max="7" width="12" customWidth="1"/>
    <col min="8" max="8" width="2" customWidth="1"/>
  </cols>
  <sheetData>
    <row r="1" spans="1:8" ht="26" customHeight="1" x14ac:dyDescent="0.15">
      <c r="A1" s="1"/>
      <c r="B1" s="2" t="s">
        <v>200</v>
      </c>
      <c r="C1" s="1"/>
      <c r="D1" s="1"/>
      <c r="E1" s="1"/>
      <c r="F1" s="1"/>
      <c r="G1" s="1"/>
      <c r="H1" s="1"/>
    </row>
    <row r="3" spans="1:8" ht="24" customHeight="1" x14ac:dyDescent="0.2">
      <c r="B3" s="3" t="s">
        <v>640</v>
      </c>
      <c r="E3" s="50" t="s">
        <v>2</v>
      </c>
    </row>
    <row r="4" spans="1:8" x14ac:dyDescent="0.15">
      <c r="B4" s="4" t="s">
        <v>201</v>
      </c>
    </row>
    <row r="6" spans="1:8" ht="18" customHeight="1" x14ac:dyDescent="0.15">
      <c r="B6" s="5" t="s">
        <v>202</v>
      </c>
      <c r="C6" s="6"/>
      <c r="D6" s="6"/>
      <c r="E6" s="6"/>
      <c r="F6" s="6"/>
      <c r="G6" s="6"/>
    </row>
    <row r="7" spans="1:8" x14ac:dyDescent="0.15">
      <c r="B7" s="7" t="s">
        <v>697</v>
      </c>
      <c r="C7" s="4" t="s">
        <v>698</v>
      </c>
    </row>
    <row r="8" spans="1:8" x14ac:dyDescent="0.15">
      <c r="B8" s="7" t="s">
        <v>203</v>
      </c>
      <c r="C8" s="4" t="s">
        <v>641</v>
      </c>
    </row>
    <row r="9" spans="1:8" x14ac:dyDescent="0.15">
      <c r="B9" s="7" t="s">
        <v>204</v>
      </c>
      <c r="C9" s="4" t="s">
        <v>205</v>
      </c>
    </row>
    <row r="10" spans="1:8" x14ac:dyDescent="0.15">
      <c r="B10" s="7" t="s">
        <v>206</v>
      </c>
      <c r="C10" s="4" t="s">
        <v>207</v>
      </c>
    </row>
    <row r="11" spans="1:8" x14ac:dyDescent="0.15">
      <c r="B11" s="7" t="s">
        <v>208</v>
      </c>
      <c r="C11" s="4" t="s">
        <v>642</v>
      </c>
    </row>
    <row r="12" spans="1:8" x14ac:dyDescent="0.15">
      <c r="B12" s="7" t="s">
        <v>209</v>
      </c>
      <c r="C12" s="4" t="s">
        <v>210</v>
      </c>
    </row>
    <row r="14" spans="1:8" ht="18" customHeight="1" x14ac:dyDescent="0.15">
      <c r="B14" s="5" t="s">
        <v>211</v>
      </c>
      <c r="C14" s="6"/>
      <c r="D14" s="6"/>
      <c r="E14" s="6"/>
      <c r="F14" s="6"/>
      <c r="G14" s="6"/>
    </row>
    <row r="15" spans="1:8" x14ac:dyDescent="0.15">
      <c r="B15" s="8" t="s">
        <v>212</v>
      </c>
      <c r="C15" s="9" t="s">
        <v>213</v>
      </c>
    </row>
    <row r="16" spans="1:8" x14ac:dyDescent="0.15">
      <c r="B16" s="8" t="s">
        <v>214</v>
      </c>
      <c r="C16" s="10" t="s">
        <v>213</v>
      </c>
    </row>
    <row r="17" spans="2:7" x14ac:dyDescent="0.15">
      <c r="B17" s="8" t="s">
        <v>215</v>
      </c>
      <c r="C17" s="54"/>
    </row>
    <row r="18" spans="2:7" x14ac:dyDescent="0.15">
      <c r="B18" s="8" t="s">
        <v>216</v>
      </c>
    </row>
    <row r="19" spans="2:7" x14ac:dyDescent="0.15">
      <c r="B19" s="8" t="s">
        <v>217</v>
      </c>
    </row>
    <row r="20" spans="2:7" x14ac:dyDescent="0.15">
      <c r="B20" s="8" t="s">
        <v>218</v>
      </c>
    </row>
    <row r="22" spans="2:7" ht="18" customHeight="1" x14ac:dyDescent="0.15">
      <c r="B22" s="5" t="s">
        <v>3</v>
      </c>
      <c r="C22" s="6"/>
      <c r="D22" s="6"/>
      <c r="E22" s="6"/>
      <c r="F22" s="6"/>
      <c r="G22" s="6"/>
    </row>
    <row r="23" spans="2:7" x14ac:dyDescent="0.15">
      <c r="B23" s="11" t="s">
        <v>219</v>
      </c>
      <c r="F23" s="12" t="s">
        <v>220</v>
      </c>
      <c r="G23" s="12" t="s">
        <v>221</v>
      </c>
    </row>
    <row r="24" spans="2:7" x14ac:dyDescent="0.15">
      <c r="B24" s="8" t="s">
        <v>222</v>
      </c>
      <c r="F24" s="55">
        <f>SUMPRODUCT(ABS(Model!D39:L39))</f>
        <v>0</v>
      </c>
      <c r="G24" s="13" t="str">
        <f>IFERROR(IF(F24=0,"OK","ERROR"),"ERROR")</f>
        <v>OK</v>
      </c>
    </row>
    <row r="25" spans="2:7" x14ac:dyDescent="0.15">
      <c r="B25" s="8" t="s">
        <v>223</v>
      </c>
      <c r="F25" s="55">
        <f>SUMPRODUCT(ABS(Model!D71:L71))</f>
        <v>0</v>
      </c>
      <c r="G25" s="13" t="str">
        <f>IFERROR(IF(F25=0,"OK","ERROR"),"ERROR")</f>
        <v>OK</v>
      </c>
    </row>
    <row r="26" spans="2:7" x14ac:dyDescent="0.15">
      <c r="B26" s="8" t="s">
        <v>224</v>
      </c>
      <c r="F26" s="55">
        <f>SUMPRODUCT(ABS(Model!D106:L106))</f>
        <v>0</v>
      </c>
      <c r="G26" s="13" t="str">
        <f>IFERROR(IF(F26=0,"OK","ERROR"),"ERROR")</f>
        <v>OK</v>
      </c>
    </row>
    <row r="27" spans="2:7" x14ac:dyDescent="0.15">
      <c r="B27" s="8" t="s">
        <v>225</v>
      </c>
      <c r="F27" s="55">
        <f>SUMPRODUCT(ABS(Model!D144:L144))</f>
        <v>0</v>
      </c>
      <c r="G27" s="13" t="str">
        <f>IFERROR(IF(F27=0,"OK","ERROR"),"ERROR")</f>
        <v>OK</v>
      </c>
    </row>
    <row r="28" spans="2:7" x14ac:dyDescent="0.15">
      <c r="B28" s="8" t="s">
        <v>226</v>
      </c>
      <c r="F28" s="55">
        <f>ROUND(ABS(Model!D286-Model!D287)+ABS(Model!D325-Model!D326),1)</f>
        <v>0</v>
      </c>
      <c r="G28" s="13" t="str">
        <f>IFERROR(IF(F28=0,"OK","ERROR"),"ERROR")</f>
        <v>OK</v>
      </c>
    </row>
    <row r="29" spans="2:7" x14ac:dyDescent="0.15">
      <c r="B29" s="14" t="s">
        <v>227</v>
      </c>
      <c r="C29" s="15"/>
      <c r="D29" s="15"/>
      <c r="E29" s="15"/>
      <c r="F29" s="15"/>
      <c r="G29" s="16" t="str">
        <f>IF(COUNTIF(G24:G28,"OK")=ROWS(G24:G28),"OK","ERROR")</f>
        <v>OK</v>
      </c>
    </row>
  </sheetData>
  <conditionalFormatting sqref="G24:G29">
    <cfRule type="expression" dxfId="55" priority="1">
      <formula>G24="OK"</formula>
    </cfRule>
    <cfRule type="expression" dxfId="54" priority="2">
      <formula>G24="ERROR"</formula>
    </cfRule>
  </conditionalFormatting>
  <hyperlinks>
    <hyperlink ref="B7" location="'Dashboard'!A1" display="Dashboard" xr:uid="{00000000-0004-0000-0000-000000000000}"/>
    <hyperlink ref="B8" location="'Outputs'!A1" display="Outputs" xr:uid="{00000000-0004-0000-0000-000000000000}"/>
    <hyperlink ref="B9" location="'Inputs'!A1" display="Inputs" xr:uid="{00000000-0004-0000-0000-000001000000}"/>
    <hyperlink ref="B10" location="'Model'!A1" display="Model" xr:uid="{00000000-0004-0000-0000-000002000000}"/>
    <hyperlink ref="B11" location="'Comps'!A1" display="Comps" xr:uid="{00000000-0004-0000-0000-000003000000}"/>
    <hyperlink ref="B12" location="'Hist'!A1" display="Hist" xr:uid="{00000000-0004-0000-0000-000004000000}"/>
  </hyperlink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5</xdr:col>
                    <xdr:colOff>50800</xdr:colOff>
                    <xdr:row>2</xdr:row>
                    <xdr:rowOff>63500</xdr:rowOff>
                  </from>
                  <to>
                    <xdr:col>6</xdr:col>
                    <xdr:colOff>152400</xdr:colOff>
                    <xdr:row>2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311"/>
  <sheetViews>
    <sheetView showGridLines="0" tabSelected="1" workbookViewId="0"/>
  </sheetViews>
  <sheetFormatPr baseColWidth="10" defaultRowHeight="13" x14ac:dyDescent="0.15"/>
  <cols>
    <col min="1" max="1" width="2" customWidth="1"/>
    <col min="2" max="7" width="9.6640625" customWidth="1"/>
    <col min="8" max="8" width="1.6640625" customWidth="1"/>
    <col min="9" max="14" width="9.6640625" customWidth="1"/>
    <col min="15" max="15" width="3" customWidth="1"/>
    <col min="16" max="16" width="40" customWidth="1"/>
    <col min="17" max="25" width="9.6640625" customWidth="1"/>
    <col min="26" max="26" width="2" customWidth="1"/>
  </cols>
  <sheetData>
    <row r="1" spans="1:26" ht="26" customHeight="1" x14ac:dyDescent="0.15">
      <c r="A1" s="1"/>
      <c r="B1" s="2" t="s">
        <v>678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B2" s="17" t="str">
        <f>"CZK m unless stated  |  Valuation date 30.06.2026  |  Active scenario: "&amp;ScenarioName</f>
        <v>CZK m unless stated  |  Valuation date 30.06.2026  |  Active scenario: Base case</v>
      </c>
    </row>
    <row r="4" spans="1:26" ht="14" x14ac:dyDescent="0.15">
      <c r="B4" s="5" t="s">
        <v>703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P4" s="5" t="s">
        <v>704</v>
      </c>
      <c r="Q4" s="6"/>
      <c r="R4" s="6"/>
      <c r="S4" s="6"/>
      <c r="T4" s="6"/>
      <c r="U4" s="6"/>
      <c r="V4" s="6"/>
      <c r="W4" s="6"/>
      <c r="X4" s="6"/>
      <c r="Y4" s="6"/>
    </row>
    <row r="6" spans="1:26" ht="16" customHeight="1" x14ac:dyDescent="0.15">
      <c r="B6" s="226" t="s">
        <v>705</v>
      </c>
      <c r="C6" s="226"/>
      <c r="D6" s="226"/>
      <c r="E6" s="226"/>
      <c r="F6" s="237" t="str">
        <f>"Share price at 30.06.2026: CZK "&amp;FIXED(Q9,0)</f>
        <v>Share price at 30.06.2026: CZK 493</v>
      </c>
      <c r="G6" s="237"/>
      <c r="H6" s="237"/>
      <c r="I6" s="237"/>
      <c r="J6" s="237"/>
      <c r="K6" s="226"/>
      <c r="L6" s="226"/>
      <c r="M6" s="226"/>
      <c r="N6" s="227" t="str">
        <f>"Market capitalisation: CZK "&amp;SUBSTITUTE(FIXED(Q11/1000,1,TRUE),",",".")&amp;"bn"</f>
        <v>Market capitalisation: CZK 10.5bn</v>
      </c>
      <c r="P6" s="8" t="s">
        <v>524</v>
      </c>
      <c r="Q6" s="224" t="s">
        <v>200</v>
      </c>
    </row>
    <row r="7" spans="1:26" x14ac:dyDescent="0.15">
      <c r="P7" s="8" t="s">
        <v>680</v>
      </c>
      <c r="Q7" s="224" t="s">
        <v>681</v>
      </c>
    </row>
    <row r="8" spans="1:26" x14ac:dyDescent="0.15">
      <c r="B8" s="229" t="s">
        <v>706</v>
      </c>
      <c r="P8" s="8" t="s">
        <v>237</v>
      </c>
      <c r="Q8" s="231">
        <f>ValDate</f>
        <v>46203</v>
      </c>
    </row>
    <row r="9" spans="1:26" x14ac:dyDescent="0.15">
      <c r="B9" s="229" t="s">
        <v>707</v>
      </c>
      <c r="P9" s="8" t="s">
        <v>682</v>
      </c>
      <c r="Q9" s="131">
        <f>Inputs!D113</f>
        <v>493</v>
      </c>
    </row>
    <row r="10" spans="1:26" x14ac:dyDescent="0.15">
      <c r="B10" s="229" t="s">
        <v>708</v>
      </c>
      <c r="P10" s="8" t="s">
        <v>498</v>
      </c>
      <c r="Q10" s="159">
        <f>SharesOut</f>
        <v>21.333731</v>
      </c>
    </row>
    <row r="11" spans="1:26" x14ac:dyDescent="0.15">
      <c r="B11" s="229" t="s">
        <v>709</v>
      </c>
      <c r="P11" s="8" t="s">
        <v>679</v>
      </c>
      <c r="Q11" s="185">
        <f>Inputs!D114</f>
        <v>10517.529383000001</v>
      </c>
    </row>
    <row r="12" spans="1:26" x14ac:dyDescent="0.15">
      <c r="B12" s="229" t="str">
        <f>"FY2025A revenue CZK "&amp;SUBSTITUTE(FIXED(Model!G16/1000,1,TRUE),",",".")&amp;"bn, adjusted EBITDA CZK "&amp;SUBSTITUTE(FIXED(Model!G38/1000,1,TRUE),",",".")&amp;"bn ("&amp;SUBSTITUTE(FIXED(Model!G48*100,1,TRUE),",",".")&amp;"% margin), net debt / adjusted EBITDA "&amp;SUBSTITUTE(FIXED(Model!G221,1,TRUE),",",".")&amp;"x, dividend CZK "&amp;FIXED(Model!G77,0)&amp;" per share."</f>
        <v>FY2025A revenue CZK 10.8bn, adjusted EBITDA CZK 1.8bn (16.9% margin), net debt / adjusted EBITDA 3.0x, dividend CZK 21 per share.</v>
      </c>
      <c r="P12" s="8" t="s">
        <v>683</v>
      </c>
      <c r="Q12" s="185">
        <f>Inputs!D115</f>
        <v>6441.73</v>
      </c>
    </row>
    <row r="13" spans="1:26" x14ac:dyDescent="0.15">
      <c r="B13" s="229" t="str">
        <f>"2026 EBITDA guidance of CZK "&amp;SUBSTITUTE(FIXED(GuideLow/1000,1,TRUE),",",".")&amp;" to "&amp;SUBSTITUTE(FIXED(GuideHigh/1000,1,TRUE),",",".")&amp;"bn. Acquisitions in H1 2026: Nobilis Tilia (natural cosmetics) and Alta Fermentación (Latin America)."</f>
        <v>2026 EBITDA guidance of CZK 1.8 to 1.9bn. Acquisitions in H1 2026: Nobilis Tilia (natural cosmetics) and Alta Fermentación (Latin America).</v>
      </c>
      <c r="P13" s="8" t="s">
        <v>738</v>
      </c>
      <c r="Q13" s="168">
        <f>Comps!G38</f>
        <v>9.787734027815354</v>
      </c>
    </row>
    <row r="14" spans="1:26" x14ac:dyDescent="0.15">
      <c r="B14" s="229" t="str">
        <f>"DCF value per share CZK "&amp;FIXED(Q15,0)&amp;" (perpetuity growth) and CZK "&amp;FIXED(Q16,0)&amp;" (exit multiple), against a share price of CZK "&amp;FIXED(Q9,0)&amp;" at 30.06.2026."</f>
        <v>DCF value per share CZK 416 (perpetuity growth) and CZK 512 (exit multiple), against a share price of CZK 493 at 30.06.2026.</v>
      </c>
      <c r="P14" s="8" t="s">
        <v>739</v>
      </c>
      <c r="Q14" s="168">
        <f>Comps!H38</f>
        <v>22.80701810808209</v>
      </c>
    </row>
    <row r="15" spans="1:26" x14ac:dyDescent="0.15">
      <c r="B15" s="229" t="s">
        <v>740</v>
      </c>
      <c r="P15" s="8" t="s">
        <v>710</v>
      </c>
      <c r="Q15" s="131">
        <f>Outputs!D26</f>
        <v>415.70731992682187</v>
      </c>
    </row>
    <row r="16" spans="1:26" x14ac:dyDescent="0.15">
      <c r="B16" s="229" t="s">
        <v>741</v>
      </c>
      <c r="P16" s="8" t="s">
        <v>711</v>
      </c>
      <c r="Q16" s="131">
        <f>Outputs!E26</f>
        <v>511.87858719976845</v>
      </c>
    </row>
    <row r="17" spans="2:25" ht="15" customHeight="1" x14ac:dyDescent="0.15">
      <c r="B17" s="228" t="s">
        <v>712</v>
      </c>
      <c r="C17" s="228"/>
      <c r="D17" s="228"/>
      <c r="E17" s="228"/>
      <c r="F17" s="228"/>
      <c r="G17" s="228"/>
      <c r="I17" s="228" t="s">
        <v>713</v>
      </c>
      <c r="J17" s="228"/>
      <c r="K17" s="228"/>
      <c r="L17" s="228"/>
      <c r="M17" s="228"/>
      <c r="N17" s="228"/>
      <c r="P17" s="8" t="s">
        <v>714</v>
      </c>
      <c r="Q17" s="131">
        <f>Outputs!G46</f>
        <v>459.72115156836298</v>
      </c>
    </row>
    <row r="19" spans="2:25" ht="14" x14ac:dyDescent="0.15">
      <c r="P19" s="5" t="s">
        <v>684</v>
      </c>
      <c r="Q19" s="6"/>
      <c r="R19" s="6"/>
      <c r="S19" s="6"/>
      <c r="T19" s="6"/>
      <c r="U19" s="6"/>
      <c r="V19" s="6"/>
      <c r="W19" s="6"/>
      <c r="X19" s="6"/>
      <c r="Y19" s="6"/>
    </row>
    <row r="20" spans="2:25" x14ac:dyDescent="0.15">
      <c r="P20" s="11" t="s">
        <v>685</v>
      </c>
      <c r="Q20" s="146" t="s">
        <v>569</v>
      </c>
      <c r="R20" s="146" t="s">
        <v>571</v>
      </c>
      <c r="S20" s="146" t="s">
        <v>245</v>
      </c>
    </row>
    <row r="21" spans="2:25" x14ac:dyDescent="0.15">
      <c r="P21" s="8" t="str">
        <f>Outputs!B40</f>
        <v>DCF (perpetuity growth)</v>
      </c>
      <c r="Q21" s="131">
        <f>Outputs!D40</f>
        <v>292.45327360734848</v>
      </c>
      <c r="R21" s="131">
        <f>Outputs!F40</f>
        <v>607.77376465410214</v>
      </c>
      <c r="S21" s="131">
        <f>Outputs!G40</f>
        <v>415.70731992682198</v>
      </c>
    </row>
    <row r="22" spans="2:25" x14ac:dyDescent="0.15">
      <c r="P22" s="8" t="str">
        <f>Outputs!B41</f>
        <v>DCF (exit multiple)</v>
      </c>
      <c r="Q22" s="131">
        <f>Outputs!D41</f>
        <v>420.92544849443846</v>
      </c>
      <c r="R22" s="131">
        <f>Outputs!F41</f>
        <v>606.47851317171273</v>
      </c>
      <c r="S22" s="131">
        <f>Outputs!G41</f>
        <v>511.87858719976845</v>
      </c>
    </row>
    <row r="23" spans="2:25" x14ac:dyDescent="0.15">
      <c r="P23" s="8" t="str">
        <f>Outputs!B42</f>
        <v>Trading comps (EV / EBITDA)</v>
      </c>
      <c r="Q23" s="131">
        <f>Outputs!D42</f>
        <v>200.30552956404566</v>
      </c>
      <c r="R23" s="131">
        <f>Outputs!F42</f>
        <v>632.23580467878628</v>
      </c>
      <c r="S23" s="131">
        <f>Outputs!G42</f>
        <v>451.57754757849858</v>
      </c>
    </row>
    <row r="24" spans="2:25" x14ac:dyDescent="0.15">
      <c r="P24" s="8" t="str">
        <f>Outputs!B43</f>
        <v>Trading comps (P / E)</v>
      </c>
      <c r="Q24" s="131">
        <f>Outputs!D43</f>
        <v>216.7002107524026</v>
      </c>
      <c r="R24" s="131">
        <f>Outputs!F43</f>
        <v>421.90739381904797</v>
      </c>
      <c r="S24" s="131">
        <f>Outputs!G43</f>
        <v>292.33561287000498</v>
      </c>
    </row>
    <row r="25" spans="2:25" x14ac:dyDescent="0.15">
      <c r="P25" s="8" t="str">
        <f>Outputs!B44</f>
        <v>Precedent transactions (EV / EBITDA)</v>
      </c>
      <c r="Q25" s="131">
        <f>Outputs!D44</f>
        <v>577.18757933152915</v>
      </c>
      <c r="R25" s="131">
        <f>Outputs!F44</f>
        <v>985.8961893190243</v>
      </c>
      <c r="S25" s="131">
        <f>Outputs!G44</f>
        <v>740.6678864118752</v>
      </c>
    </row>
    <row r="26" spans="2:25" x14ac:dyDescent="0.15">
      <c r="P26" s="8" t="str">
        <f>Outputs!B45</f>
        <v>52-week trading range</v>
      </c>
      <c r="Q26" s="131">
        <f>Outputs!D45</f>
        <v>450</v>
      </c>
      <c r="R26" s="131">
        <f>Outputs!F45</f>
        <v>546</v>
      </c>
      <c r="S26" s="131">
        <f>Outputs!G45</f>
        <v>493</v>
      </c>
    </row>
    <row r="27" spans="2:25" x14ac:dyDescent="0.15">
      <c r="P27" s="114" t="str">
        <f>"Average of base values (CZK "&amp;FIXED(S27,0)&amp;")"</f>
        <v>Average of base values (CZK 460)</v>
      </c>
      <c r="S27" s="131">
        <f>Outputs!G46</f>
        <v>459.72115156836298</v>
      </c>
    </row>
    <row r="29" spans="2:25" ht="14" x14ac:dyDescent="0.15">
      <c r="P29" s="5" t="s">
        <v>686</v>
      </c>
      <c r="Q29" s="6"/>
      <c r="R29" s="6"/>
      <c r="S29" s="6"/>
      <c r="T29" s="6"/>
      <c r="U29" s="6"/>
      <c r="V29" s="6"/>
      <c r="W29" s="6"/>
      <c r="X29" s="6"/>
      <c r="Y29" s="6"/>
    </row>
    <row r="30" spans="2:25" x14ac:dyDescent="0.15">
      <c r="P30" s="11" t="s">
        <v>1</v>
      </c>
      <c r="Q30" s="146" t="str">
        <f>Model!D$4&amp;Model!D$6</f>
        <v>2022A</v>
      </c>
      <c r="R30" s="146" t="str">
        <f>Model!E$4&amp;Model!E$6</f>
        <v>2023A</v>
      </c>
      <c r="S30" s="146" t="str">
        <f>Model!F$4&amp;Model!F$6</f>
        <v>2024A</v>
      </c>
      <c r="T30" s="146" t="str">
        <f>Model!G$4&amp;Model!G$6</f>
        <v>2025A</v>
      </c>
      <c r="U30" s="146" t="str">
        <f>Model!H$4&amp;Model!H$6</f>
        <v>2026F</v>
      </c>
      <c r="V30" s="146" t="str">
        <f>Model!I$4&amp;Model!I$6</f>
        <v>2027F</v>
      </c>
      <c r="W30" s="146" t="str">
        <f>Model!J$4&amp;Model!J$6</f>
        <v>2028F</v>
      </c>
      <c r="X30" s="146" t="str">
        <f>Model!K$4&amp;Model!K$6</f>
        <v>2029F</v>
      </c>
      <c r="Y30" s="146" t="str">
        <f>Model!L$4&amp;Model!L$6</f>
        <v>2030F</v>
      </c>
    </row>
    <row r="31" spans="2:25" x14ac:dyDescent="0.15">
      <c r="P31" s="8" t="s">
        <v>689</v>
      </c>
      <c r="R31" s="135">
        <f>Model!E24</f>
        <v>0.10346534804332119</v>
      </c>
      <c r="S31" s="135">
        <f>Model!F24</f>
        <v>0.27523839475780676</v>
      </c>
      <c r="T31" s="135">
        <f>Model!G24</f>
        <v>-2.9563832295625203E-2</v>
      </c>
      <c r="U31" s="135">
        <f>Model!H24</f>
        <v>6.9292779018828687E-2</v>
      </c>
      <c r="V31" s="135">
        <f>Model!I24</f>
        <v>4.4027052611146811E-2</v>
      </c>
      <c r="W31" s="135">
        <f>Model!J24</f>
        <v>3.9213139669133534E-2</v>
      </c>
      <c r="X31" s="135">
        <f>Model!K24</f>
        <v>3.4998888187505184E-2</v>
      </c>
      <c r="Y31" s="135">
        <f>Model!L24</f>
        <v>3.295372487733661E-2</v>
      </c>
    </row>
    <row r="32" spans="2:25" x14ac:dyDescent="0.15">
      <c r="P32" s="8" t="s">
        <v>33</v>
      </c>
      <c r="Q32" s="135">
        <f>Model!D48</f>
        <v>0.14100202608566245</v>
      </c>
      <c r="R32" s="135">
        <f>Model!E48</f>
        <v>0.14423350333131832</v>
      </c>
      <c r="S32" s="135">
        <f>Model!F48</f>
        <v>0.16702768907249471</v>
      </c>
      <c r="T32" s="135">
        <f>Model!G48</f>
        <v>0.16890344054970238</v>
      </c>
      <c r="U32" s="135">
        <f>Model!H48</f>
        <v>0.16400000000000003</v>
      </c>
      <c r="V32" s="135">
        <f>Model!I48</f>
        <v>0.16099999999999998</v>
      </c>
      <c r="W32" s="135">
        <f>Model!J48</f>
        <v>0.16199999999999992</v>
      </c>
      <c r="X32" s="135">
        <f>Model!K48</f>
        <v>0.16300000000000006</v>
      </c>
      <c r="Y32" s="135">
        <f>Model!L48</f>
        <v>0.16299999999999998</v>
      </c>
    </row>
    <row r="34" spans="2:25" x14ac:dyDescent="0.15">
      <c r="P34" s="8" t="s">
        <v>10</v>
      </c>
      <c r="Q34" s="185">
        <f>Model!D11</f>
        <v>5735.8540000000003</v>
      </c>
      <c r="R34" s="185">
        <f>Model!E11</f>
        <v>6314.7070000000003</v>
      </c>
      <c r="S34" s="185">
        <f>Model!F11</f>
        <v>7015.5969999999998</v>
      </c>
      <c r="T34" s="185">
        <f>Model!G11</f>
        <v>6542.5219999999999</v>
      </c>
      <c r="U34" s="185">
        <f>Model!H11</f>
        <v>7196.7742000000007</v>
      </c>
      <c r="V34" s="185">
        <f>Model!I11</f>
        <v>7484.6451680000009</v>
      </c>
      <c r="W34" s="185">
        <f>Model!J11</f>
        <v>7746.6077488800001</v>
      </c>
      <c r="X34" s="185">
        <f>Model!K11</f>
        <v>7979.0059813464004</v>
      </c>
      <c r="Y34" s="185">
        <f>Model!L11</f>
        <v>8218.3761607867928</v>
      </c>
    </row>
    <row r="35" spans="2:25" ht="15" customHeight="1" x14ac:dyDescent="0.15">
      <c r="B35" s="228" t="s">
        <v>687</v>
      </c>
      <c r="C35" s="228"/>
      <c r="D35" s="228"/>
      <c r="E35" s="228"/>
      <c r="F35" s="228"/>
      <c r="G35" s="228"/>
      <c r="I35" s="228" t="s">
        <v>688</v>
      </c>
      <c r="J35" s="228"/>
      <c r="K35" s="228"/>
      <c r="L35" s="228"/>
      <c r="M35" s="228"/>
      <c r="N35" s="228"/>
      <c r="P35" s="8" t="s">
        <v>11</v>
      </c>
      <c r="Q35" s="185">
        <f>Model!D12</f>
        <v>1413.4829999999999</v>
      </c>
      <c r="R35" s="185">
        <f>Model!E12</f>
        <v>1514.8920000000001</v>
      </c>
      <c r="S35" s="185">
        <f>Model!F12</f>
        <v>1683.172</v>
      </c>
      <c r="T35" s="185">
        <f>Model!G12</f>
        <v>1652.173</v>
      </c>
      <c r="U35" s="185">
        <f>Model!H12</f>
        <v>1685.2164600000001</v>
      </c>
      <c r="V35" s="185">
        <f>Model!I12</f>
        <v>1735.7729538000001</v>
      </c>
      <c r="W35" s="185">
        <f>Model!J12</f>
        <v>1787.846142414</v>
      </c>
      <c r="X35" s="185">
        <f>Model!K12</f>
        <v>1841.48152668642</v>
      </c>
      <c r="Y35" s="185">
        <f>Model!L12</f>
        <v>1887.5185648535803</v>
      </c>
    </row>
    <row r="36" spans="2:25" x14ac:dyDescent="0.15">
      <c r="P36" s="8" t="s">
        <v>12</v>
      </c>
      <c r="Q36" s="185">
        <f>Model!D13</f>
        <v>876.84799999999996</v>
      </c>
      <c r="R36" s="185">
        <f>Model!E13</f>
        <v>1026.9179999999999</v>
      </c>
      <c r="S36" s="185">
        <f>Model!F13</f>
        <v>1230.5329999999999</v>
      </c>
      <c r="T36" s="185">
        <f>Model!G13</f>
        <v>1420.817</v>
      </c>
      <c r="U36" s="185">
        <f>Model!H13</f>
        <v>1676.5640599999999</v>
      </c>
      <c r="V36" s="185">
        <f>Model!I13</f>
        <v>1844.220466</v>
      </c>
      <c r="W36" s="185">
        <f>Model!J13</f>
        <v>1991.7581032800001</v>
      </c>
      <c r="X36" s="185">
        <f>Model!K13</f>
        <v>2131.1811705096002</v>
      </c>
      <c r="Y36" s="185">
        <f>Model!L13</f>
        <v>2259.0520407401764</v>
      </c>
    </row>
    <row r="37" spans="2:25" x14ac:dyDescent="0.15">
      <c r="P37" s="8" t="s">
        <v>13</v>
      </c>
      <c r="Q37" s="185">
        <f>Model!D14</f>
        <v>0</v>
      </c>
      <c r="R37" s="185">
        <f>Model!E14</f>
        <v>0</v>
      </c>
      <c r="S37" s="185">
        <f>Model!F14</f>
        <v>1400.375</v>
      </c>
      <c r="T37" s="185">
        <f>Model!G14</f>
        <v>1479.289</v>
      </c>
      <c r="U37" s="185">
        <f>Model!H14</f>
        <v>1420.11744</v>
      </c>
      <c r="V37" s="185">
        <f>Model!I14</f>
        <v>1441.4192016</v>
      </c>
      <c r="W37" s="185">
        <f>Model!J14</f>
        <v>1470.247585632</v>
      </c>
      <c r="X37" s="185">
        <f>Model!K14</f>
        <v>1499.65253734464</v>
      </c>
      <c r="Y37" s="185">
        <f>Model!L14</f>
        <v>1529.6455880915328</v>
      </c>
    </row>
    <row r="38" spans="2:25" x14ac:dyDescent="0.15">
      <c r="P38" s="8" t="s">
        <v>14</v>
      </c>
      <c r="Q38" s="185">
        <f>Model!D15</f>
        <v>-150.90100000000001</v>
      </c>
      <c r="R38" s="185">
        <f>Model!E15</f>
        <v>-166.41399999999999</v>
      </c>
      <c r="S38" s="185">
        <f>Model!F15</f>
        <v>-247.72399999999999</v>
      </c>
      <c r="T38" s="185">
        <f>Model!G15</f>
        <v>-340.47300000000001</v>
      </c>
      <c r="U38" s="185">
        <f>Model!H15</f>
        <v>-479.14688640000008</v>
      </c>
      <c r="V38" s="185">
        <f>Model!I15</f>
        <v>-500.24231157600008</v>
      </c>
      <c r="W38" s="185">
        <f>Model!J15</f>
        <v>-519.85838320824007</v>
      </c>
      <c r="X38" s="185">
        <f>Model!K15</f>
        <v>-538.05284863548241</v>
      </c>
      <c r="Y38" s="185">
        <f>Model!L15</f>
        <v>-555.78369417888337</v>
      </c>
    </row>
    <row r="39" spans="2:25" x14ac:dyDescent="0.15">
      <c r="P39" s="114" t="s">
        <v>15</v>
      </c>
      <c r="Q39" s="186">
        <f>Model!D16</f>
        <v>7875.2840000000006</v>
      </c>
      <c r="R39" s="186">
        <f>Model!E16</f>
        <v>8690.1029999999992</v>
      </c>
      <c r="S39" s="186">
        <f>Model!F16</f>
        <v>11081.953</v>
      </c>
      <c r="T39" s="186">
        <f>Model!G16</f>
        <v>10754.328</v>
      </c>
      <c r="U39" s="186">
        <f>Model!H16</f>
        <v>11499.525273600002</v>
      </c>
      <c r="V39" s="186">
        <f>Model!I16</f>
        <v>12005.815477824002</v>
      </c>
      <c r="W39" s="186">
        <f>Model!J16</f>
        <v>12476.601196997761</v>
      </c>
      <c r="X39" s="186">
        <f>Model!K16</f>
        <v>12913.268367251578</v>
      </c>
      <c r="Y39" s="186">
        <f>Model!L16</f>
        <v>13338.8086602932</v>
      </c>
    </row>
    <row r="41" spans="2:25" x14ac:dyDescent="0.15">
      <c r="P41" s="8" t="s">
        <v>28</v>
      </c>
      <c r="Q41" s="185">
        <f>Model!D38</f>
        <v>1110.4310000000003</v>
      </c>
      <c r="R41" s="185">
        <f>Model!E38</f>
        <v>1253.4039999999993</v>
      </c>
      <c r="S41" s="185">
        <f>Model!F38</f>
        <v>1850.9929999999999</v>
      </c>
      <c r="T41" s="185">
        <f>Model!G38</f>
        <v>1816.4429999999998</v>
      </c>
      <c r="U41" s="185">
        <f>Model!H38</f>
        <v>1885.9221448704006</v>
      </c>
      <c r="V41" s="185">
        <f>Model!I38</f>
        <v>1932.9362919296641</v>
      </c>
      <c r="W41" s="185">
        <f>Model!J38</f>
        <v>2021.2093939136362</v>
      </c>
      <c r="X41" s="185">
        <f>Model!K38</f>
        <v>2104.8627438620078</v>
      </c>
      <c r="Y41" s="185">
        <f>Model!L38</f>
        <v>2174.2258116277912</v>
      </c>
    </row>
    <row r="42" spans="2:25" x14ac:dyDescent="0.15">
      <c r="P42" s="8" t="s">
        <v>110</v>
      </c>
      <c r="Q42" s="185">
        <f>Model!D155</f>
        <v>189.95600000000016</v>
      </c>
      <c r="R42" s="185">
        <f>Model!E155</f>
        <v>697.24700000000007</v>
      </c>
      <c r="S42" s="185">
        <f>Model!F155</f>
        <v>452.59000000000026</v>
      </c>
      <c r="T42" s="185">
        <f>Model!G155</f>
        <v>-374.65799999999984</v>
      </c>
      <c r="U42" s="185">
        <f>Model!H155</f>
        <v>-20.694986455804667</v>
      </c>
      <c r="V42" s="185">
        <f>Model!I155</f>
        <v>137.09578900292797</v>
      </c>
      <c r="W42" s="185">
        <f>Model!J155</f>
        <v>280.45396302299071</v>
      </c>
      <c r="X42" s="185">
        <f>Model!K155</f>
        <v>375.26213420065255</v>
      </c>
      <c r="Y42" s="185">
        <f>Model!L155</f>
        <v>462.03048243539541</v>
      </c>
    </row>
    <row r="43" spans="2:25" x14ac:dyDescent="0.15">
      <c r="P43" s="8" t="s">
        <v>100</v>
      </c>
      <c r="Q43" s="185">
        <f>-Model!D135</f>
        <v>253.012</v>
      </c>
      <c r="R43" s="185">
        <f>-Model!E135</f>
        <v>286.601</v>
      </c>
      <c r="S43" s="185">
        <f>-Model!F135</f>
        <v>449.83</v>
      </c>
      <c r="T43" s="185">
        <f>-Model!G135</f>
        <v>274.83999999999997</v>
      </c>
      <c r="U43" s="185">
        <f>-Model!H135</f>
        <v>447.16404599999998</v>
      </c>
      <c r="V43" s="185">
        <f>-Model!I135</f>
        <v>448.008351</v>
      </c>
      <c r="W43" s="185">
        <f>-Model!J135</f>
        <v>448.008351</v>
      </c>
      <c r="X43" s="185">
        <f>-Model!K135</f>
        <v>448.008351</v>
      </c>
      <c r="Y43" s="185">
        <f>-Model!L135</f>
        <v>448.008351</v>
      </c>
    </row>
    <row r="44" spans="2:25" x14ac:dyDescent="0.15">
      <c r="P44" s="8" t="s">
        <v>46</v>
      </c>
      <c r="Q44" s="185">
        <f>Model!D70</f>
        <v>269.15000000000083</v>
      </c>
      <c r="R44" s="185">
        <f>Model!E70</f>
        <v>365.39699999999976</v>
      </c>
      <c r="S44" s="185">
        <f>Model!F70</f>
        <v>597.89099999999769</v>
      </c>
      <c r="T44" s="185">
        <f>Model!G70</f>
        <v>673.92299999999886</v>
      </c>
      <c r="U44" s="185">
        <f>Model!H70</f>
        <v>456.24890855389191</v>
      </c>
      <c r="V44" s="185">
        <f>Model!I70</f>
        <v>375.81228983003649</v>
      </c>
      <c r="W44" s="185">
        <f>Model!J70</f>
        <v>397.5397115743026</v>
      </c>
      <c r="X44" s="185">
        <f>Model!K70</f>
        <v>434.45685968032893</v>
      </c>
      <c r="Y44" s="185">
        <f>Model!L70</f>
        <v>469.71165490797256</v>
      </c>
    </row>
    <row r="45" spans="2:25" x14ac:dyDescent="0.15">
      <c r="P45" s="8" t="s">
        <v>690</v>
      </c>
      <c r="Q45" s="168">
        <f>Model!D221</f>
        <v>2.967352316352839</v>
      </c>
      <c r="R45" s="168">
        <f>Model!E221</f>
        <v>2.2815500828144812</v>
      </c>
      <c r="S45" s="168">
        <f>Model!F221</f>
        <v>2.1359735017906609</v>
      </c>
      <c r="T45" s="168">
        <f>Model!G221</f>
        <v>3.0198354696514018</v>
      </c>
      <c r="U45" s="168">
        <f>Model!H221</f>
        <v>3.5315344146327359</v>
      </c>
      <c r="V45" s="168">
        <f>Model!I221</f>
        <v>3.5962100175438061</v>
      </c>
      <c r="W45" s="168">
        <f>Model!J221</f>
        <v>3.5204171895231933</v>
      </c>
      <c r="X45" s="168">
        <f>Model!K221</f>
        <v>3.4182126824820598</v>
      </c>
      <c r="Y45" s="168">
        <f>Model!L221</f>
        <v>3.3085778172770857</v>
      </c>
    </row>
    <row r="47" spans="2:25" ht="14" x14ac:dyDescent="0.15">
      <c r="P47" s="5" t="s">
        <v>691</v>
      </c>
      <c r="Q47" s="6"/>
      <c r="R47" s="6"/>
      <c r="S47" s="6"/>
      <c r="T47" s="6"/>
      <c r="U47" s="6"/>
      <c r="V47" s="6"/>
      <c r="W47" s="6"/>
      <c r="X47" s="6"/>
      <c r="Y47" s="6"/>
    </row>
    <row r="48" spans="2:25" x14ac:dyDescent="0.15">
      <c r="P48" s="11" t="s">
        <v>690</v>
      </c>
      <c r="Q48" s="146" t="str">
        <f t="shared" ref="Q48:Y48" si="0">Q$30</f>
        <v>2022A</v>
      </c>
      <c r="R48" s="146" t="str">
        <f t="shared" si="0"/>
        <v>2023A</v>
      </c>
      <c r="S48" s="146" t="str">
        <f t="shared" si="0"/>
        <v>2024A</v>
      </c>
      <c r="T48" s="146" t="str">
        <f t="shared" si="0"/>
        <v>2025A</v>
      </c>
      <c r="U48" s="146" t="str">
        <f t="shared" si="0"/>
        <v>2026F</v>
      </c>
      <c r="V48" s="146" t="str">
        <f t="shared" si="0"/>
        <v>2027F</v>
      </c>
      <c r="W48" s="146" t="str">
        <f t="shared" si="0"/>
        <v>2028F</v>
      </c>
      <c r="X48" s="146" t="str">
        <f t="shared" si="0"/>
        <v>2029F</v>
      </c>
      <c r="Y48" s="146" t="str">
        <f t="shared" si="0"/>
        <v>2030F</v>
      </c>
    </row>
    <row r="49" spans="2:25" x14ac:dyDescent="0.15">
      <c r="P49" s="8" t="s">
        <v>693</v>
      </c>
      <c r="Q49" s="168">
        <f>Q45</f>
        <v>2.967352316352839</v>
      </c>
      <c r="R49" s="168">
        <f>R45</f>
        <v>2.2815500828144812</v>
      </c>
      <c r="S49" s="168">
        <f>S45</f>
        <v>2.1359735017906609</v>
      </c>
      <c r="T49" s="168">
        <f>T45</f>
        <v>3.0198354696514018</v>
      </c>
    </row>
    <row r="50" spans="2:25" x14ac:dyDescent="0.15">
      <c r="P50" s="8" t="str">
        <f>Inputs!D131</f>
        <v>Base case</v>
      </c>
      <c r="T50" s="168">
        <f>T$45</f>
        <v>3.0198354696514018</v>
      </c>
      <c r="U50" s="168">
        <f>Outputs!H84</f>
        <v>3.5315344146327359</v>
      </c>
      <c r="V50" s="168">
        <f>Outputs!I84</f>
        <v>3.5962100175438061</v>
      </c>
      <c r="W50" s="168">
        <f>Outputs!J84</f>
        <v>3.5204171895231933</v>
      </c>
      <c r="X50" s="168">
        <f>Outputs!K84</f>
        <v>3.4182126824820598</v>
      </c>
      <c r="Y50" s="168">
        <f>Outputs!L84</f>
        <v>3.3085778172770857</v>
      </c>
    </row>
    <row r="51" spans="2:25" x14ac:dyDescent="0.15">
      <c r="P51" s="8" t="str">
        <f>Inputs!D132</f>
        <v>Upside case</v>
      </c>
      <c r="T51" s="168">
        <f>T$45</f>
        <v>3.0198354696514018</v>
      </c>
      <c r="U51" s="168">
        <f>Outputs!H85</f>
        <v>3.2676010300643759</v>
      </c>
      <c r="V51" s="168">
        <f>Outputs!I85</f>
        <v>3.0841249832969453</v>
      </c>
      <c r="W51" s="168">
        <f>Outputs!J85</f>
        <v>2.8729432863546878</v>
      </c>
      <c r="X51" s="168">
        <f>Outputs!K85</f>
        <v>2.6455304553416945</v>
      </c>
      <c r="Y51" s="168">
        <f>Outputs!L85</f>
        <v>2.4459359027930421</v>
      </c>
    </row>
    <row r="52" spans="2:25" x14ac:dyDescent="0.15">
      <c r="P52" s="8" t="str">
        <f>Inputs!D133</f>
        <v>Downside case</v>
      </c>
      <c r="T52" s="168">
        <f>T$45</f>
        <v>3.0198354696514018</v>
      </c>
      <c r="U52" s="168">
        <f>Outputs!H86</f>
        <v>4.1700338841333755</v>
      </c>
      <c r="V52" s="168">
        <f>Outputs!I86</f>
        <v>4.2527124255839865</v>
      </c>
      <c r="W52" s="168">
        <f>Outputs!J86</f>
        <v>4.4832942251199306</v>
      </c>
      <c r="X52" s="168">
        <f>Outputs!K86</f>
        <v>4.386406765514316</v>
      </c>
      <c r="Y52" s="168">
        <f>Outputs!L86</f>
        <v>4.3019081576461682</v>
      </c>
    </row>
    <row r="53" spans="2:25" ht="15" customHeight="1" x14ac:dyDescent="0.15">
      <c r="B53" s="228" t="s">
        <v>692</v>
      </c>
      <c r="C53" s="228"/>
      <c r="D53" s="228"/>
      <c r="E53" s="228"/>
      <c r="F53" s="228"/>
      <c r="G53" s="228"/>
      <c r="I53" s="228" t="s">
        <v>715</v>
      </c>
      <c r="J53" s="228"/>
      <c r="K53" s="228"/>
      <c r="L53" s="228"/>
      <c r="M53" s="228"/>
      <c r="N53" s="228"/>
    </row>
    <row r="54" spans="2:25" x14ac:dyDescent="0.15">
      <c r="P54" s="11" t="s">
        <v>716</v>
      </c>
      <c r="Q54" s="146" t="str">
        <f>Inputs!D131</f>
        <v>Base case</v>
      </c>
      <c r="R54" s="146" t="str">
        <f>Inputs!D132</f>
        <v>Upside case</v>
      </c>
      <c r="S54" s="146" t="str">
        <f>Inputs!D133</f>
        <v>Downside case</v>
      </c>
    </row>
    <row r="55" spans="2:25" x14ac:dyDescent="0.15">
      <c r="P55" s="8" t="s">
        <v>652</v>
      </c>
      <c r="Q55" s="131">
        <f>Outputs!D56</f>
        <v>415.70731992682198</v>
      </c>
      <c r="R55" s="131">
        <f>Outputs!D57</f>
        <v>633.04506634948302</v>
      </c>
      <c r="S55" s="131">
        <f>Outputs!D58</f>
        <v>179.98892062733856</v>
      </c>
    </row>
    <row r="56" spans="2:25" x14ac:dyDescent="0.15">
      <c r="P56" s="8" t="s">
        <v>653</v>
      </c>
      <c r="Q56" s="131">
        <f>Outputs!E56</f>
        <v>511.87858719976845</v>
      </c>
      <c r="R56" s="131">
        <f>Outputs!E57</f>
        <v>653.96089731447171</v>
      </c>
      <c r="S56" s="131">
        <f>Outputs!E58</f>
        <v>309.9199330888938</v>
      </c>
    </row>
    <row r="57" spans="2:25" x14ac:dyDescent="0.15">
      <c r="P57" s="8" t="s">
        <v>191</v>
      </c>
      <c r="Q57" s="131">
        <f>$Q$9</f>
        <v>493</v>
      </c>
      <c r="R57" s="131">
        <f>$Q$9</f>
        <v>493</v>
      </c>
      <c r="S57" s="131">
        <f>$Q$9</f>
        <v>493</v>
      </c>
    </row>
    <row r="59" spans="2:25" ht="14" x14ac:dyDescent="0.15">
      <c r="P59" s="5" t="s">
        <v>694</v>
      </c>
      <c r="Q59" s="6"/>
      <c r="R59" s="6"/>
      <c r="S59" s="6"/>
      <c r="T59" s="6"/>
      <c r="U59" s="6"/>
      <c r="V59" s="6"/>
      <c r="W59" s="6"/>
      <c r="X59" s="6"/>
      <c r="Y59" s="6"/>
    </row>
    <row r="60" spans="2:25" x14ac:dyDescent="0.15">
      <c r="P60" s="122" t="s">
        <v>717</v>
      </c>
    </row>
    <row r="61" spans="2:25" x14ac:dyDescent="0.15">
      <c r="P61" s="11" t="s">
        <v>695</v>
      </c>
      <c r="Q61" s="146" t="s">
        <v>696</v>
      </c>
    </row>
    <row r="62" spans="2:25" x14ac:dyDescent="0.15">
      <c r="P62" s="235">
        <v>45839</v>
      </c>
      <c r="Q62" s="130">
        <v>536</v>
      </c>
    </row>
    <row r="63" spans="2:25" x14ac:dyDescent="0.15">
      <c r="P63" s="235">
        <v>45840</v>
      </c>
      <c r="Q63" s="130">
        <v>536</v>
      </c>
    </row>
    <row r="64" spans="2:25" x14ac:dyDescent="0.15">
      <c r="P64" s="235">
        <v>45841</v>
      </c>
      <c r="Q64" s="130">
        <v>534</v>
      </c>
    </row>
    <row r="65" spans="2:17" x14ac:dyDescent="0.15">
      <c r="P65" s="235">
        <v>45842</v>
      </c>
      <c r="Q65" s="130">
        <v>541</v>
      </c>
    </row>
    <row r="66" spans="2:17" x14ac:dyDescent="0.15">
      <c r="P66" s="235">
        <v>45845</v>
      </c>
      <c r="Q66" s="130">
        <v>546</v>
      </c>
    </row>
    <row r="67" spans="2:17" x14ac:dyDescent="0.15">
      <c r="P67" s="235">
        <v>45846</v>
      </c>
      <c r="Q67" s="130">
        <v>540</v>
      </c>
    </row>
    <row r="68" spans="2:17" x14ac:dyDescent="0.15">
      <c r="P68" s="235">
        <v>45847</v>
      </c>
      <c r="Q68" s="130">
        <v>546</v>
      </c>
    </row>
    <row r="69" spans="2:17" x14ac:dyDescent="0.15">
      <c r="P69" s="235">
        <v>45848</v>
      </c>
      <c r="Q69" s="130">
        <v>544</v>
      </c>
    </row>
    <row r="70" spans="2:17" x14ac:dyDescent="0.15">
      <c r="P70" s="235">
        <v>45849</v>
      </c>
      <c r="Q70" s="130">
        <v>541</v>
      </c>
    </row>
    <row r="71" spans="2:17" x14ac:dyDescent="0.15">
      <c r="B71" s="230" t="s">
        <v>718</v>
      </c>
      <c r="P71" s="235">
        <v>45852</v>
      </c>
      <c r="Q71" s="130">
        <v>538</v>
      </c>
    </row>
    <row r="72" spans="2:17" x14ac:dyDescent="0.15">
      <c r="B72" s="230" t="s">
        <v>719</v>
      </c>
      <c r="P72" s="235">
        <v>45853</v>
      </c>
      <c r="Q72" s="130">
        <v>540</v>
      </c>
    </row>
    <row r="73" spans="2:17" x14ac:dyDescent="0.15">
      <c r="B73" s="230" t="s">
        <v>742</v>
      </c>
      <c r="P73" s="235">
        <v>45854</v>
      </c>
      <c r="Q73" s="130">
        <v>533</v>
      </c>
    </row>
    <row r="74" spans="2:17" x14ac:dyDescent="0.15">
      <c r="P74" s="235">
        <v>45855</v>
      </c>
      <c r="Q74" s="130">
        <v>530</v>
      </c>
    </row>
    <row r="75" spans="2:17" x14ac:dyDescent="0.15">
      <c r="P75" s="235">
        <v>45856</v>
      </c>
      <c r="Q75" s="130">
        <v>510</v>
      </c>
    </row>
    <row r="76" spans="2:17" x14ac:dyDescent="0.15">
      <c r="P76" s="235">
        <v>45859</v>
      </c>
      <c r="Q76" s="130">
        <v>518</v>
      </c>
    </row>
    <row r="77" spans="2:17" x14ac:dyDescent="0.15">
      <c r="P77" s="235">
        <v>45860</v>
      </c>
      <c r="Q77" s="130">
        <v>522</v>
      </c>
    </row>
    <row r="78" spans="2:17" x14ac:dyDescent="0.15">
      <c r="P78" s="235">
        <v>45861</v>
      </c>
      <c r="Q78" s="130">
        <v>524</v>
      </c>
    </row>
    <row r="79" spans="2:17" x14ac:dyDescent="0.15">
      <c r="P79" s="235">
        <v>45862</v>
      </c>
      <c r="Q79" s="130">
        <v>526</v>
      </c>
    </row>
    <row r="80" spans="2:17" x14ac:dyDescent="0.15">
      <c r="P80" s="235">
        <v>45863</v>
      </c>
      <c r="Q80" s="130">
        <v>531</v>
      </c>
    </row>
    <row r="81" spans="16:17" x14ac:dyDescent="0.15">
      <c r="P81" s="235">
        <v>45866</v>
      </c>
      <c r="Q81" s="130">
        <v>526</v>
      </c>
    </row>
    <row r="82" spans="16:17" x14ac:dyDescent="0.15">
      <c r="P82" s="235">
        <v>45867</v>
      </c>
      <c r="Q82" s="130">
        <v>526</v>
      </c>
    </row>
    <row r="83" spans="16:17" x14ac:dyDescent="0.15">
      <c r="P83" s="235">
        <v>45868</v>
      </c>
      <c r="Q83" s="130">
        <v>522</v>
      </c>
    </row>
    <row r="84" spans="16:17" x14ac:dyDescent="0.15">
      <c r="P84" s="235">
        <v>45869</v>
      </c>
      <c r="Q84" s="130">
        <v>520</v>
      </c>
    </row>
    <row r="85" spans="16:17" x14ac:dyDescent="0.15">
      <c r="P85" s="235">
        <v>45870</v>
      </c>
      <c r="Q85" s="130">
        <v>516</v>
      </c>
    </row>
    <row r="86" spans="16:17" x14ac:dyDescent="0.15">
      <c r="P86" s="235">
        <v>45873</v>
      </c>
      <c r="Q86" s="130">
        <v>518</v>
      </c>
    </row>
    <row r="87" spans="16:17" x14ac:dyDescent="0.15">
      <c r="P87" s="235">
        <v>45874</v>
      </c>
      <c r="Q87" s="130">
        <v>520</v>
      </c>
    </row>
    <row r="88" spans="16:17" x14ac:dyDescent="0.15">
      <c r="P88" s="235">
        <v>45875</v>
      </c>
      <c r="Q88" s="130">
        <v>524</v>
      </c>
    </row>
    <row r="89" spans="16:17" x14ac:dyDescent="0.15">
      <c r="P89" s="235">
        <v>45876</v>
      </c>
      <c r="Q89" s="130">
        <v>518</v>
      </c>
    </row>
    <row r="90" spans="16:17" x14ac:dyDescent="0.15">
      <c r="P90" s="235">
        <v>45877</v>
      </c>
      <c r="Q90" s="130">
        <v>526</v>
      </c>
    </row>
    <row r="91" spans="16:17" x14ac:dyDescent="0.15">
      <c r="P91" s="235">
        <v>45880</v>
      </c>
      <c r="Q91" s="130">
        <v>527</v>
      </c>
    </row>
    <row r="92" spans="16:17" x14ac:dyDescent="0.15">
      <c r="P92" s="235">
        <v>45881</v>
      </c>
      <c r="Q92" s="130">
        <v>524</v>
      </c>
    </row>
    <row r="93" spans="16:17" x14ac:dyDescent="0.15">
      <c r="P93" s="235">
        <v>45882</v>
      </c>
      <c r="Q93" s="130">
        <v>524</v>
      </c>
    </row>
    <row r="94" spans="16:17" x14ac:dyDescent="0.15">
      <c r="P94" s="235">
        <v>45883</v>
      </c>
      <c r="Q94" s="130">
        <v>524</v>
      </c>
    </row>
    <row r="95" spans="16:17" x14ac:dyDescent="0.15">
      <c r="P95" s="235">
        <v>45884</v>
      </c>
      <c r="Q95" s="130">
        <v>522</v>
      </c>
    </row>
    <row r="96" spans="16:17" x14ac:dyDescent="0.15">
      <c r="P96" s="235">
        <v>45887</v>
      </c>
      <c r="Q96" s="130">
        <v>526</v>
      </c>
    </row>
    <row r="97" spans="16:17" x14ac:dyDescent="0.15">
      <c r="P97" s="235">
        <v>45888</v>
      </c>
      <c r="Q97" s="130">
        <v>524</v>
      </c>
    </row>
    <row r="98" spans="16:17" x14ac:dyDescent="0.15">
      <c r="P98" s="235">
        <v>45889</v>
      </c>
      <c r="Q98" s="130">
        <v>526</v>
      </c>
    </row>
    <row r="99" spans="16:17" x14ac:dyDescent="0.15">
      <c r="P99" s="235">
        <v>45890</v>
      </c>
      <c r="Q99" s="130">
        <v>525</v>
      </c>
    </row>
    <row r="100" spans="16:17" x14ac:dyDescent="0.15">
      <c r="P100" s="235">
        <v>45891</v>
      </c>
      <c r="Q100" s="130">
        <v>527</v>
      </c>
    </row>
    <row r="101" spans="16:17" x14ac:dyDescent="0.15">
      <c r="P101" s="235">
        <v>45894</v>
      </c>
      <c r="Q101" s="130">
        <v>525</v>
      </c>
    </row>
    <row r="102" spans="16:17" x14ac:dyDescent="0.15">
      <c r="P102" s="235">
        <v>45895</v>
      </c>
      <c r="Q102" s="130">
        <v>527</v>
      </c>
    </row>
    <row r="103" spans="16:17" x14ac:dyDescent="0.15">
      <c r="P103" s="235">
        <v>45896</v>
      </c>
      <c r="Q103" s="130">
        <v>525</v>
      </c>
    </row>
    <row r="104" spans="16:17" x14ac:dyDescent="0.15">
      <c r="P104" s="235">
        <v>45897</v>
      </c>
      <c r="Q104" s="130">
        <v>521</v>
      </c>
    </row>
    <row r="105" spans="16:17" x14ac:dyDescent="0.15">
      <c r="P105" s="235">
        <v>45898</v>
      </c>
      <c r="Q105" s="130">
        <v>522</v>
      </c>
    </row>
    <row r="106" spans="16:17" x14ac:dyDescent="0.15">
      <c r="P106" s="235">
        <v>45901</v>
      </c>
      <c r="Q106" s="130">
        <v>525</v>
      </c>
    </row>
    <row r="107" spans="16:17" x14ac:dyDescent="0.15">
      <c r="P107" s="235">
        <v>45902</v>
      </c>
      <c r="Q107" s="130">
        <v>520</v>
      </c>
    </row>
    <row r="108" spans="16:17" x14ac:dyDescent="0.15">
      <c r="P108" s="235">
        <v>45903</v>
      </c>
      <c r="Q108" s="130">
        <v>516</v>
      </c>
    </row>
    <row r="109" spans="16:17" x14ac:dyDescent="0.15">
      <c r="P109" s="235">
        <v>45904</v>
      </c>
      <c r="Q109" s="130">
        <v>522</v>
      </c>
    </row>
    <row r="110" spans="16:17" x14ac:dyDescent="0.15">
      <c r="P110" s="235">
        <v>45905</v>
      </c>
      <c r="Q110" s="130">
        <v>522</v>
      </c>
    </row>
    <row r="111" spans="16:17" x14ac:dyDescent="0.15">
      <c r="P111" s="235">
        <v>45908</v>
      </c>
      <c r="Q111" s="130">
        <v>524</v>
      </c>
    </row>
    <row r="112" spans="16:17" x14ac:dyDescent="0.15">
      <c r="P112" s="235">
        <v>45909</v>
      </c>
      <c r="Q112" s="130">
        <v>524</v>
      </c>
    </row>
    <row r="113" spans="16:17" x14ac:dyDescent="0.15">
      <c r="P113" s="235">
        <v>45910</v>
      </c>
      <c r="Q113" s="130">
        <v>524</v>
      </c>
    </row>
    <row r="114" spans="16:17" x14ac:dyDescent="0.15">
      <c r="P114" s="235">
        <v>45911</v>
      </c>
      <c r="Q114" s="130">
        <v>517</v>
      </c>
    </row>
    <row r="115" spans="16:17" x14ac:dyDescent="0.15">
      <c r="P115" s="235">
        <v>45912</v>
      </c>
      <c r="Q115" s="130">
        <v>521</v>
      </c>
    </row>
    <row r="116" spans="16:17" x14ac:dyDescent="0.15">
      <c r="P116" s="235">
        <v>45915</v>
      </c>
      <c r="Q116" s="130">
        <v>520</v>
      </c>
    </row>
    <row r="117" spans="16:17" x14ac:dyDescent="0.15">
      <c r="P117" s="235">
        <v>45916</v>
      </c>
      <c r="Q117" s="130">
        <v>518</v>
      </c>
    </row>
    <row r="118" spans="16:17" x14ac:dyDescent="0.15">
      <c r="P118" s="235">
        <v>45917</v>
      </c>
      <c r="Q118" s="130">
        <v>517</v>
      </c>
    </row>
    <row r="119" spans="16:17" x14ac:dyDescent="0.15">
      <c r="P119" s="235">
        <v>45918</v>
      </c>
      <c r="Q119" s="130">
        <v>520</v>
      </c>
    </row>
    <row r="120" spans="16:17" x14ac:dyDescent="0.15">
      <c r="P120" s="235">
        <v>45919</v>
      </c>
      <c r="Q120" s="130">
        <v>520</v>
      </c>
    </row>
    <row r="121" spans="16:17" x14ac:dyDescent="0.15">
      <c r="P121" s="235">
        <v>45922</v>
      </c>
      <c r="Q121" s="130">
        <v>512</v>
      </c>
    </row>
    <row r="122" spans="16:17" x14ac:dyDescent="0.15">
      <c r="P122" s="235">
        <v>45923</v>
      </c>
      <c r="Q122" s="130">
        <v>515</v>
      </c>
    </row>
    <row r="123" spans="16:17" x14ac:dyDescent="0.15">
      <c r="P123" s="235">
        <v>45924</v>
      </c>
      <c r="Q123" s="130">
        <v>515</v>
      </c>
    </row>
    <row r="124" spans="16:17" x14ac:dyDescent="0.15">
      <c r="P124" s="235">
        <v>45925</v>
      </c>
      <c r="Q124" s="130">
        <v>515</v>
      </c>
    </row>
    <row r="125" spans="16:17" x14ac:dyDescent="0.15">
      <c r="P125" s="235">
        <v>45926</v>
      </c>
      <c r="Q125" s="130">
        <v>513</v>
      </c>
    </row>
    <row r="126" spans="16:17" x14ac:dyDescent="0.15">
      <c r="P126" s="235">
        <v>45929</v>
      </c>
      <c r="Q126" s="130">
        <v>506</v>
      </c>
    </row>
    <row r="127" spans="16:17" x14ac:dyDescent="0.15">
      <c r="P127" s="235">
        <v>45930</v>
      </c>
      <c r="Q127" s="130">
        <v>506</v>
      </c>
    </row>
    <row r="128" spans="16:17" x14ac:dyDescent="0.15">
      <c r="P128" s="235">
        <v>45931</v>
      </c>
      <c r="Q128" s="130">
        <v>506</v>
      </c>
    </row>
    <row r="129" spans="16:17" x14ac:dyDescent="0.15">
      <c r="P129" s="235">
        <v>45932</v>
      </c>
      <c r="Q129" s="130">
        <v>507</v>
      </c>
    </row>
    <row r="130" spans="16:17" x14ac:dyDescent="0.15">
      <c r="P130" s="235">
        <v>45933</v>
      </c>
      <c r="Q130" s="130">
        <v>506</v>
      </c>
    </row>
    <row r="131" spans="16:17" x14ac:dyDescent="0.15">
      <c r="P131" s="235">
        <v>45936</v>
      </c>
      <c r="Q131" s="130">
        <v>503</v>
      </c>
    </row>
    <row r="132" spans="16:17" x14ac:dyDescent="0.15">
      <c r="P132" s="235">
        <v>45937</v>
      </c>
      <c r="Q132" s="130">
        <v>502</v>
      </c>
    </row>
    <row r="133" spans="16:17" x14ac:dyDescent="0.15">
      <c r="P133" s="235">
        <v>45938</v>
      </c>
      <c r="Q133" s="130">
        <v>502</v>
      </c>
    </row>
    <row r="134" spans="16:17" x14ac:dyDescent="0.15">
      <c r="P134" s="235">
        <v>45939</v>
      </c>
      <c r="Q134" s="130">
        <v>499</v>
      </c>
    </row>
    <row r="135" spans="16:17" x14ac:dyDescent="0.15">
      <c r="P135" s="235">
        <v>45940</v>
      </c>
      <c r="Q135" s="130">
        <v>504</v>
      </c>
    </row>
    <row r="136" spans="16:17" x14ac:dyDescent="0.15">
      <c r="P136" s="235">
        <v>45943</v>
      </c>
      <c r="Q136" s="130">
        <v>500</v>
      </c>
    </row>
    <row r="137" spans="16:17" x14ac:dyDescent="0.15">
      <c r="P137" s="235">
        <v>45944</v>
      </c>
      <c r="Q137" s="130">
        <v>498</v>
      </c>
    </row>
    <row r="138" spans="16:17" x14ac:dyDescent="0.15">
      <c r="P138" s="235">
        <v>45945</v>
      </c>
      <c r="Q138" s="130">
        <v>500</v>
      </c>
    </row>
    <row r="139" spans="16:17" x14ac:dyDescent="0.15">
      <c r="P139" s="235">
        <v>45946</v>
      </c>
      <c r="Q139" s="130">
        <v>502</v>
      </c>
    </row>
    <row r="140" spans="16:17" x14ac:dyDescent="0.15">
      <c r="P140" s="235">
        <v>45947</v>
      </c>
      <c r="Q140" s="130">
        <v>500</v>
      </c>
    </row>
    <row r="141" spans="16:17" x14ac:dyDescent="0.15">
      <c r="P141" s="235">
        <v>45950</v>
      </c>
      <c r="Q141" s="130">
        <v>499</v>
      </c>
    </row>
    <row r="142" spans="16:17" x14ac:dyDescent="0.15">
      <c r="P142" s="235">
        <v>45951</v>
      </c>
      <c r="Q142" s="130">
        <v>499</v>
      </c>
    </row>
    <row r="143" spans="16:17" x14ac:dyDescent="0.15">
      <c r="P143" s="235">
        <v>45952</v>
      </c>
      <c r="Q143" s="130">
        <v>500</v>
      </c>
    </row>
    <row r="144" spans="16:17" x14ac:dyDescent="0.15">
      <c r="P144" s="235">
        <v>45953</v>
      </c>
      <c r="Q144" s="130">
        <v>496</v>
      </c>
    </row>
    <row r="145" spans="16:17" x14ac:dyDescent="0.15">
      <c r="P145" s="235">
        <v>45954</v>
      </c>
      <c r="Q145" s="130">
        <v>496</v>
      </c>
    </row>
    <row r="146" spans="16:17" x14ac:dyDescent="0.15">
      <c r="P146" s="235">
        <v>45957</v>
      </c>
      <c r="Q146" s="130">
        <v>495</v>
      </c>
    </row>
    <row r="147" spans="16:17" x14ac:dyDescent="0.15">
      <c r="P147" s="235">
        <v>45959</v>
      </c>
      <c r="Q147" s="130">
        <v>493</v>
      </c>
    </row>
    <row r="148" spans="16:17" x14ac:dyDescent="0.15">
      <c r="P148" s="235">
        <v>45960</v>
      </c>
      <c r="Q148" s="130">
        <v>490</v>
      </c>
    </row>
    <row r="149" spans="16:17" x14ac:dyDescent="0.15">
      <c r="P149" s="235">
        <v>45961</v>
      </c>
      <c r="Q149" s="130">
        <v>486</v>
      </c>
    </row>
    <row r="150" spans="16:17" x14ac:dyDescent="0.15">
      <c r="P150" s="235">
        <v>45964</v>
      </c>
      <c r="Q150" s="130">
        <v>490</v>
      </c>
    </row>
    <row r="151" spans="16:17" x14ac:dyDescent="0.15">
      <c r="P151" s="235">
        <v>45965</v>
      </c>
      <c r="Q151" s="130">
        <v>486</v>
      </c>
    </row>
    <row r="152" spans="16:17" x14ac:dyDescent="0.15">
      <c r="P152" s="235">
        <v>45966</v>
      </c>
      <c r="Q152" s="130">
        <v>489</v>
      </c>
    </row>
    <row r="153" spans="16:17" x14ac:dyDescent="0.15">
      <c r="P153" s="235">
        <v>45967</v>
      </c>
      <c r="Q153" s="130">
        <v>487</v>
      </c>
    </row>
    <row r="154" spans="16:17" x14ac:dyDescent="0.15">
      <c r="P154" s="235">
        <v>45968</v>
      </c>
      <c r="Q154" s="130">
        <v>486</v>
      </c>
    </row>
    <row r="155" spans="16:17" x14ac:dyDescent="0.15">
      <c r="P155" s="235">
        <v>45971</v>
      </c>
      <c r="Q155" s="130">
        <v>491</v>
      </c>
    </row>
    <row r="156" spans="16:17" x14ac:dyDescent="0.15">
      <c r="P156" s="235">
        <v>45972</v>
      </c>
      <c r="Q156" s="130">
        <v>492</v>
      </c>
    </row>
    <row r="157" spans="16:17" x14ac:dyDescent="0.15">
      <c r="P157" s="235">
        <v>45973</v>
      </c>
      <c r="Q157" s="130">
        <v>489.5</v>
      </c>
    </row>
    <row r="158" spans="16:17" x14ac:dyDescent="0.15">
      <c r="P158" s="235">
        <v>45974</v>
      </c>
      <c r="Q158" s="130">
        <v>490</v>
      </c>
    </row>
    <row r="159" spans="16:17" x14ac:dyDescent="0.15">
      <c r="P159" s="235">
        <v>45975</v>
      </c>
      <c r="Q159" s="130">
        <v>491</v>
      </c>
    </row>
    <row r="160" spans="16:17" x14ac:dyDescent="0.15">
      <c r="P160" s="235">
        <v>45979</v>
      </c>
      <c r="Q160" s="130">
        <v>487</v>
      </c>
    </row>
    <row r="161" spans="16:17" x14ac:dyDescent="0.15">
      <c r="P161" s="235">
        <v>45980</v>
      </c>
      <c r="Q161" s="130">
        <v>488</v>
      </c>
    </row>
    <row r="162" spans="16:17" x14ac:dyDescent="0.15">
      <c r="P162" s="235">
        <v>45981</v>
      </c>
      <c r="Q162" s="130">
        <v>489</v>
      </c>
    </row>
    <row r="163" spans="16:17" x14ac:dyDescent="0.15">
      <c r="P163" s="235">
        <v>45982</v>
      </c>
      <c r="Q163" s="130">
        <v>480</v>
      </c>
    </row>
    <row r="164" spans="16:17" x14ac:dyDescent="0.15">
      <c r="P164" s="235">
        <v>45985</v>
      </c>
      <c r="Q164" s="130">
        <v>482.5</v>
      </c>
    </row>
    <row r="165" spans="16:17" x14ac:dyDescent="0.15">
      <c r="P165" s="235">
        <v>45986</v>
      </c>
      <c r="Q165" s="130">
        <v>490</v>
      </c>
    </row>
    <row r="166" spans="16:17" x14ac:dyDescent="0.15">
      <c r="P166" s="235">
        <v>45987</v>
      </c>
      <c r="Q166" s="130">
        <v>484</v>
      </c>
    </row>
    <row r="167" spans="16:17" x14ac:dyDescent="0.15">
      <c r="P167" s="235">
        <v>45988</v>
      </c>
      <c r="Q167" s="130">
        <v>484</v>
      </c>
    </row>
    <row r="168" spans="16:17" x14ac:dyDescent="0.15">
      <c r="P168" s="235">
        <v>45989</v>
      </c>
      <c r="Q168" s="130">
        <v>480</v>
      </c>
    </row>
    <row r="169" spans="16:17" x14ac:dyDescent="0.15">
      <c r="P169" s="235">
        <v>45992</v>
      </c>
      <c r="Q169" s="130">
        <v>484</v>
      </c>
    </row>
    <row r="170" spans="16:17" x14ac:dyDescent="0.15">
      <c r="P170" s="235">
        <v>45993</v>
      </c>
      <c r="Q170" s="130">
        <v>484</v>
      </c>
    </row>
    <row r="171" spans="16:17" x14ac:dyDescent="0.15">
      <c r="P171" s="235">
        <v>45994</v>
      </c>
      <c r="Q171" s="130">
        <v>480</v>
      </c>
    </row>
    <row r="172" spans="16:17" x14ac:dyDescent="0.15">
      <c r="P172" s="235">
        <v>45995</v>
      </c>
      <c r="Q172" s="130">
        <v>484</v>
      </c>
    </row>
    <row r="173" spans="16:17" x14ac:dyDescent="0.15">
      <c r="P173" s="235">
        <v>45996</v>
      </c>
      <c r="Q173" s="130">
        <v>484</v>
      </c>
    </row>
    <row r="174" spans="16:17" x14ac:dyDescent="0.15">
      <c r="P174" s="235">
        <v>45999</v>
      </c>
      <c r="Q174" s="130">
        <v>489.5</v>
      </c>
    </row>
    <row r="175" spans="16:17" x14ac:dyDescent="0.15">
      <c r="P175" s="235">
        <v>46000</v>
      </c>
      <c r="Q175" s="130">
        <v>488</v>
      </c>
    </row>
    <row r="176" spans="16:17" x14ac:dyDescent="0.15">
      <c r="P176" s="235">
        <v>46001</v>
      </c>
      <c r="Q176" s="130">
        <v>488</v>
      </c>
    </row>
    <row r="177" spans="16:17" x14ac:dyDescent="0.15">
      <c r="P177" s="235">
        <v>46002</v>
      </c>
      <c r="Q177" s="130">
        <v>486.5</v>
      </c>
    </row>
    <row r="178" spans="16:17" x14ac:dyDescent="0.15">
      <c r="P178" s="235">
        <v>46003</v>
      </c>
      <c r="Q178" s="130">
        <v>489</v>
      </c>
    </row>
    <row r="179" spans="16:17" x14ac:dyDescent="0.15">
      <c r="P179" s="235">
        <v>46006</v>
      </c>
      <c r="Q179" s="130">
        <v>488</v>
      </c>
    </row>
    <row r="180" spans="16:17" x14ac:dyDescent="0.15">
      <c r="P180" s="235">
        <v>46007</v>
      </c>
      <c r="Q180" s="130">
        <v>486</v>
      </c>
    </row>
    <row r="181" spans="16:17" x14ac:dyDescent="0.15">
      <c r="P181" s="235">
        <v>46008</v>
      </c>
      <c r="Q181" s="130">
        <v>485</v>
      </c>
    </row>
    <row r="182" spans="16:17" x14ac:dyDescent="0.15">
      <c r="P182" s="235">
        <v>46009</v>
      </c>
      <c r="Q182" s="130">
        <v>486</v>
      </c>
    </row>
    <row r="183" spans="16:17" x14ac:dyDescent="0.15">
      <c r="P183" s="235">
        <v>46010</v>
      </c>
      <c r="Q183" s="130">
        <v>483</v>
      </c>
    </row>
    <row r="184" spans="16:17" x14ac:dyDescent="0.15">
      <c r="P184" s="235">
        <v>46013</v>
      </c>
      <c r="Q184" s="130">
        <v>486</v>
      </c>
    </row>
    <row r="185" spans="16:17" x14ac:dyDescent="0.15">
      <c r="P185" s="235">
        <v>46014</v>
      </c>
      <c r="Q185" s="130">
        <v>485</v>
      </c>
    </row>
    <row r="186" spans="16:17" x14ac:dyDescent="0.15">
      <c r="P186" s="235">
        <v>46020</v>
      </c>
      <c r="Q186" s="130">
        <v>485</v>
      </c>
    </row>
    <row r="187" spans="16:17" x14ac:dyDescent="0.15">
      <c r="P187" s="235">
        <v>46021</v>
      </c>
      <c r="Q187" s="130">
        <v>483.5</v>
      </c>
    </row>
    <row r="188" spans="16:17" x14ac:dyDescent="0.15">
      <c r="P188" s="235">
        <v>46024</v>
      </c>
      <c r="Q188" s="130">
        <v>483</v>
      </c>
    </row>
    <row r="189" spans="16:17" x14ac:dyDescent="0.15">
      <c r="P189" s="235">
        <v>46027</v>
      </c>
      <c r="Q189" s="130">
        <v>470</v>
      </c>
    </row>
    <row r="190" spans="16:17" x14ac:dyDescent="0.15">
      <c r="P190" s="235">
        <v>46028</v>
      </c>
      <c r="Q190" s="130">
        <v>480</v>
      </c>
    </row>
    <row r="191" spans="16:17" x14ac:dyDescent="0.15">
      <c r="P191" s="235">
        <v>46029</v>
      </c>
      <c r="Q191" s="130">
        <v>475</v>
      </c>
    </row>
    <row r="192" spans="16:17" x14ac:dyDescent="0.15">
      <c r="P192" s="235">
        <v>46030</v>
      </c>
      <c r="Q192" s="130">
        <v>482</v>
      </c>
    </row>
    <row r="193" spans="16:17" x14ac:dyDescent="0.15">
      <c r="P193" s="235">
        <v>46031</v>
      </c>
      <c r="Q193" s="130">
        <v>481</v>
      </c>
    </row>
    <row r="194" spans="16:17" x14ac:dyDescent="0.15">
      <c r="P194" s="235">
        <v>46034</v>
      </c>
      <c r="Q194" s="130">
        <v>481</v>
      </c>
    </row>
    <row r="195" spans="16:17" x14ac:dyDescent="0.15">
      <c r="P195" s="235">
        <v>46035</v>
      </c>
      <c r="Q195" s="130">
        <v>477</v>
      </c>
    </row>
    <row r="196" spans="16:17" x14ac:dyDescent="0.15">
      <c r="P196" s="235">
        <v>46036</v>
      </c>
      <c r="Q196" s="130">
        <v>475.5</v>
      </c>
    </row>
    <row r="197" spans="16:17" x14ac:dyDescent="0.15">
      <c r="P197" s="235">
        <v>46037</v>
      </c>
      <c r="Q197" s="130">
        <v>474</v>
      </c>
    </row>
    <row r="198" spans="16:17" x14ac:dyDescent="0.15">
      <c r="P198" s="235">
        <v>46038</v>
      </c>
      <c r="Q198" s="130">
        <v>480</v>
      </c>
    </row>
    <row r="199" spans="16:17" x14ac:dyDescent="0.15">
      <c r="P199" s="235">
        <v>46041</v>
      </c>
      <c r="Q199" s="130">
        <v>478.5</v>
      </c>
    </row>
    <row r="200" spans="16:17" x14ac:dyDescent="0.15">
      <c r="P200" s="235">
        <v>46042</v>
      </c>
      <c r="Q200" s="130">
        <v>480</v>
      </c>
    </row>
    <row r="201" spans="16:17" x14ac:dyDescent="0.15">
      <c r="P201" s="235">
        <v>46043</v>
      </c>
      <c r="Q201" s="130">
        <v>475</v>
      </c>
    </row>
    <row r="202" spans="16:17" x14ac:dyDescent="0.15">
      <c r="P202" s="235">
        <v>46044</v>
      </c>
      <c r="Q202" s="130">
        <v>479</v>
      </c>
    </row>
    <row r="203" spans="16:17" x14ac:dyDescent="0.15">
      <c r="P203" s="235">
        <v>46045</v>
      </c>
      <c r="Q203" s="130">
        <v>479</v>
      </c>
    </row>
    <row r="204" spans="16:17" x14ac:dyDescent="0.15">
      <c r="P204" s="235">
        <v>46048</v>
      </c>
      <c r="Q204" s="130">
        <v>476</v>
      </c>
    </row>
    <row r="205" spans="16:17" x14ac:dyDescent="0.15">
      <c r="P205" s="235">
        <v>46049</v>
      </c>
      <c r="Q205" s="130">
        <v>480</v>
      </c>
    </row>
    <row r="206" spans="16:17" x14ac:dyDescent="0.15">
      <c r="P206" s="235">
        <v>46050</v>
      </c>
      <c r="Q206" s="130">
        <v>481</v>
      </c>
    </row>
    <row r="207" spans="16:17" x14ac:dyDescent="0.15">
      <c r="P207" s="235">
        <v>46051</v>
      </c>
      <c r="Q207" s="130">
        <v>480</v>
      </c>
    </row>
    <row r="208" spans="16:17" x14ac:dyDescent="0.15">
      <c r="P208" s="235">
        <v>46052</v>
      </c>
      <c r="Q208" s="130">
        <v>478</v>
      </c>
    </row>
    <row r="209" spans="16:17" x14ac:dyDescent="0.15">
      <c r="P209" s="235">
        <v>46055</v>
      </c>
      <c r="Q209" s="130">
        <v>480</v>
      </c>
    </row>
    <row r="210" spans="16:17" x14ac:dyDescent="0.15">
      <c r="P210" s="235">
        <v>46056</v>
      </c>
      <c r="Q210" s="130">
        <v>479.5</v>
      </c>
    </row>
    <row r="211" spans="16:17" x14ac:dyDescent="0.15">
      <c r="P211" s="235">
        <v>46057</v>
      </c>
      <c r="Q211" s="130">
        <v>479.5</v>
      </c>
    </row>
    <row r="212" spans="16:17" x14ac:dyDescent="0.15">
      <c r="P212" s="235">
        <v>46058</v>
      </c>
      <c r="Q212" s="130">
        <v>478</v>
      </c>
    </row>
    <row r="213" spans="16:17" x14ac:dyDescent="0.15">
      <c r="P213" s="235">
        <v>46059</v>
      </c>
      <c r="Q213" s="130">
        <v>480</v>
      </c>
    </row>
    <row r="214" spans="16:17" x14ac:dyDescent="0.15">
      <c r="P214" s="235">
        <v>46062</v>
      </c>
      <c r="Q214" s="130">
        <v>480</v>
      </c>
    </row>
    <row r="215" spans="16:17" x14ac:dyDescent="0.15">
      <c r="P215" s="235">
        <v>46063</v>
      </c>
      <c r="Q215" s="130">
        <v>480</v>
      </c>
    </row>
    <row r="216" spans="16:17" x14ac:dyDescent="0.15">
      <c r="P216" s="235">
        <v>46064</v>
      </c>
      <c r="Q216" s="130">
        <v>480</v>
      </c>
    </row>
    <row r="217" spans="16:17" x14ac:dyDescent="0.15">
      <c r="P217" s="235">
        <v>46065</v>
      </c>
      <c r="Q217" s="130">
        <v>480</v>
      </c>
    </row>
    <row r="218" spans="16:17" x14ac:dyDescent="0.15">
      <c r="P218" s="235">
        <v>46066</v>
      </c>
      <c r="Q218" s="130">
        <v>480</v>
      </c>
    </row>
    <row r="219" spans="16:17" x14ac:dyDescent="0.15">
      <c r="P219" s="235">
        <v>46069</v>
      </c>
      <c r="Q219" s="130">
        <v>480</v>
      </c>
    </row>
    <row r="220" spans="16:17" x14ac:dyDescent="0.15">
      <c r="P220" s="235">
        <v>46070</v>
      </c>
      <c r="Q220" s="130">
        <v>480</v>
      </c>
    </row>
    <row r="221" spans="16:17" x14ac:dyDescent="0.15">
      <c r="P221" s="235">
        <v>46071</v>
      </c>
      <c r="Q221" s="130">
        <v>478</v>
      </c>
    </row>
    <row r="222" spans="16:17" x14ac:dyDescent="0.15">
      <c r="P222" s="235">
        <v>46072</v>
      </c>
      <c r="Q222" s="130">
        <v>480</v>
      </c>
    </row>
    <row r="223" spans="16:17" x14ac:dyDescent="0.15">
      <c r="P223" s="235">
        <v>46073</v>
      </c>
      <c r="Q223" s="130">
        <v>480</v>
      </c>
    </row>
    <row r="224" spans="16:17" x14ac:dyDescent="0.15">
      <c r="P224" s="235">
        <v>46076</v>
      </c>
      <c r="Q224" s="130">
        <v>479</v>
      </c>
    </row>
    <row r="225" spans="16:17" x14ac:dyDescent="0.15">
      <c r="P225" s="235">
        <v>46077</v>
      </c>
      <c r="Q225" s="130">
        <v>479</v>
      </c>
    </row>
    <row r="226" spans="16:17" x14ac:dyDescent="0.15">
      <c r="P226" s="235">
        <v>46078</v>
      </c>
      <c r="Q226" s="130">
        <v>480</v>
      </c>
    </row>
    <row r="227" spans="16:17" x14ac:dyDescent="0.15">
      <c r="P227" s="235">
        <v>46079</v>
      </c>
      <c r="Q227" s="130">
        <v>478</v>
      </c>
    </row>
    <row r="228" spans="16:17" x14ac:dyDescent="0.15">
      <c r="P228" s="235">
        <v>46080</v>
      </c>
      <c r="Q228" s="130">
        <v>477</v>
      </c>
    </row>
    <row r="229" spans="16:17" x14ac:dyDescent="0.15">
      <c r="P229" s="235">
        <v>46083</v>
      </c>
      <c r="Q229" s="130">
        <v>475</v>
      </c>
    </row>
    <row r="230" spans="16:17" x14ac:dyDescent="0.15">
      <c r="P230" s="235">
        <v>46084</v>
      </c>
      <c r="Q230" s="130">
        <v>474</v>
      </c>
    </row>
    <row r="231" spans="16:17" x14ac:dyDescent="0.15">
      <c r="P231" s="235">
        <v>46085</v>
      </c>
      <c r="Q231" s="130">
        <v>469</v>
      </c>
    </row>
    <row r="232" spans="16:17" x14ac:dyDescent="0.15">
      <c r="P232" s="235">
        <v>46086</v>
      </c>
      <c r="Q232" s="130">
        <v>480</v>
      </c>
    </row>
    <row r="233" spans="16:17" x14ac:dyDescent="0.15">
      <c r="P233" s="235">
        <v>46087</v>
      </c>
      <c r="Q233" s="130">
        <v>480</v>
      </c>
    </row>
    <row r="234" spans="16:17" x14ac:dyDescent="0.15">
      <c r="P234" s="235">
        <v>46090</v>
      </c>
      <c r="Q234" s="130">
        <v>468.5</v>
      </c>
    </row>
    <row r="235" spans="16:17" x14ac:dyDescent="0.15">
      <c r="P235" s="235">
        <v>46091</v>
      </c>
      <c r="Q235" s="130">
        <v>475</v>
      </c>
    </row>
    <row r="236" spans="16:17" x14ac:dyDescent="0.15">
      <c r="P236" s="235">
        <v>46092</v>
      </c>
      <c r="Q236" s="130">
        <v>477</v>
      </c>
    </row>
    <row r="237" spans="16:17" x14ac:dyDescent="0.15">
      <c r="P237" s="235">
        <v>46093</v>
      </c>
      <c r="Q237" s="130">
        <v>475.5</v>
      </c>
    </row>
    <row r="238" spans="16:17" x14ac:dyDescent="0.15">
      <c r="P238" s="235">
        <v>46094</v>
      </c>
      <c r="Q238" s="130">
        <v>470</v>
      </c>
    </row>
    <row r="239" spans="16:17" x14ac:dyDescent="0.15">
      <c r="P239" s="235">
        <v>46097</v>
      </c>
      <c r="Q239" s="130">
        <v>474.5</v>
      </c>
    </row>
    <row r="240" spans="16:17" x14ac:dyDescent="0.15">
      <c r="P240" s="235">
        <v>46098</v>
      </c>
      <c r="Q240" s="130">
        <v>475</v>
      </c>
    </row>
    <row r="241" spans="16:17" x14ac:dyDescent="0.15">
      <c r="P241" s="235">
        <v>46099</v>
      </c>
      <c r="Q241" s="130">
        <v>474.5</v>
      </c>
    </row>
    <row r="242" spans="16:17" x14ac:dyDescent="0.15">
      <c r="P242" s="235">
        <v>46100</v>
      </c>
      <c r="Q242" s="130">
        <v>470</v>
      </c>
    </row>
    <row r="243" spans="16:17" x14ac:dyDescent="0.15">
      <c r="P243" s="235">
        <v>46101</v>
      </c>
      <c r="Q243" s="130">
        <v>461.5</v>
      </c>
    </row>
    <row r="244" spans="16:17" x14ac:dyDescent="0.15">
      <c r="P244" s="235">
        <v>46104</v>
      </c>
      <c r="Q244" s="130">
        <v>460</v>
      </c>
    </row>
    <row r="245" spans="16:17" x14ac:dyDescent="0.15">
      <c r="P245" s="235">
        <v>46105</v>
      </c>
      <c r="Q245" s="130">
        <v>462.5</v>
      </c>
    </row>
    <row r="246" spans="16:17" x14ac:dyDescent="0.15">
      <c r="P246" s="235">
        <v>46106</v>
      </c>
      <c r="Q246" s="130">
        <v>462</v>
      </c>
    </row>
    <row r="247" spans="16:17" x14ac:dyDescent="0.15">
      <c r="P247" s="235">
        <v>46107</v>
      </c>
      <c r="Q247" s="130">
        <v>459</v>
      </c>
    </row>
    <row r="248" spans="16:17" x14ac:dyDescent="0.15">
      <c r="P248" s="235">
        <v>46108</v>
      </c>
      <c r="Q248" s="130">
        <v>458.5</v>
      </c>
    </row>
    <row r="249" spans="16:17" x14ac:dyDescent="0.15">
      <c r="P249" s="235">
        <v>46111</v>
      </c>
      <c r="Q249" s="130">
        <v>452</v>
      </c>
    </row>
    <row r="250" spans="16:17" x14ac:dyDescent="0.15">
      <c r="P250" s="235">
        <v>46112</v>
      </c>
      <c r="Q250" s="130">
        <v>450</v>
      </c>
    </row>
    <row r="251" spans="16:17" x14ac:dyDescent="0.15">
      <c r="P251" s="235">
        <v>46113</v>
      </c>
      <c r="Q251" s="130">
        <v>451</v>
      </c>
    </row>
    <row r="252" spans="16:17" x14ac:dyDescent="0.15">
      <c r="P252" s="235">
        <v>46114</v>
      </c>
      <c r="Q252" s="130">
        <v>450</v>
      </c>
    </row>
    <row r="253" spans="16:17" x14ac:dyDescent="0.15">
      <c r="P253" s="235">
        <v>46119</v>
      </c>
      <c r="Q253" s="130">
        <v>450</v>
      </c>
    </row>
    <row r="254" spans="16:17" x14ac:dyDescent="0.15">
      <c r="P254" s="235">
        <v>46120</v>
      </c>
      <c r="Q254" s="130">
        <v>466</v>
      </c>
    </row>
    <row r="255" spans="16:17" x14ac:dyDescent="0.15">
      <c r="P255" s="235">
        <v>46121</v>
      </c>
      <c r="Q255" s="130">
        <v>469</v>
      </c>
    </row>
    <row r="256" spans="16:17" x14ac:dyDescent="0.15">
      <c r="P256" s="235">
        <v>46122</v>
      </c>
      <c r="Q256" s="130">
        <v>467</v>
      </c>
    </row>
    <row r="257" spans="16:17" x14ac:dyDescent="0.15">
      <c r="P257" s="235">
        <v>46125</v>
      </c>
      <c r="Q257" s="130">
        <v>465</v>
      </c>
    </row>
    <row r="258" spans="16:17" x14ac:dyDescent="0.15">
      <c r="P258" s="235">
        <v>46126</v>
      </c>
      <c r="Q258" s="130">
        <v>468</v>
      </c>
    </row>
    <row r="259" spans="16:17" x14ac:dyDescent="0.15">
      <c r="P259" s="235">
        <v>46127</v>
      </c>
      <c r="Q259" s="130">
        <v>473</v>
      </c>
    </row>
    <row r="260" spans="16:17" x14ac:dyDescent="0.15">
      <c r="P260" s="235">
        <v>46128</v>
      </c>
      <c r="Q260" s="130">
        <v>478</v>
      </c>
    </row>
    <row r="261" spans="16:17" x14ac:dyDescent="0.15">
      <c r="P261" s="235">
        <v>46129</v>
      </c>
      <c r="Q261" s="130">
        <v>478</v>
      </c>
    </row>
    <row r="262" spans="16:17" x14ac:dyDescent="0.15">
      <c r="P262" s="235">
        <v>46132</v>
      </c>
      <c r="Q262" s="130">
        <v>475</v>
      </c>
    </row>
    <row r="263" spans="16:17" x14ac:dyDescent="0.15">
      <c r="P263" s="235">
        <v>46133</v>
      </c>
      <c r="Q263" s="130">
        <v>475</v>
      </c>
    </row>
    <row r="264" spans="16:17" x14ac:dyDescent="0.15">
      <c r="P264" s="235">
        <v>46134</v>
      </c>
      <c r="Q264" s="130">
        <v>477.5</v>
      </c>
    </row>
    <row r="265" spans="16:17" x14ac:dyDescent="0.15">
      <c r="P265" s="235">
        <v>46135</v>
      </c>
      <c r="Q265" s="130">
        <v>479</v>
      </c>
    </row>
    <row r="266" spans="16:17" x14ac:dyDescent="0.15">
      <c r="P266" s="235">
        <v>46136</v>
      </c>
      <c r="Q266" s="130">
        <v>479</v>
      </c>
    </row>
    <row r="267" spans="16:17" x14ac:dyDescent="0.15">
      <c r="P267" s="235">
        <v>46139</v>
      </c>
      <c r="Q267" s="130">
        <v>477</v>
      </c>
    </row>
    <row r="268" spans="16:17" x14ac:dyDescent="0.15">
      <c r="P268" s="235">
        <v>46140</v>
      </c>
      <c r="Q268" s="130">
        <v>472</v>
      </c>
    </row>
    <row r="269" spans="16:17" x14ac:dyDescent="0.15">
      <c r="P269" s="235">
        <v>46141</v>
      </c>
      <c r="Q269" s="130">
        <v>476</v>
      </c>
    </row>
    <row r="270" spans="16:17" x14ac:dyDescent="0.15">
      <c r="P270" s="235">
        <v>46142</v>
      </c>
      <c r="Q270" s="130">
        <v>474</v>
      </c>
    </row>
    <row r="271" spans="16:17" x14ac:dyDescent="0.15">
      <c r="P271" s="235">
        <v>46146</v>
      </c>
      <c r="Q271" s="130">
        <v>471</v>
      </c>
    </row>
    <row r="272" spans="16:17" x14ac:dyDescent="0.15">
      <c r="P272" s="235">
        <v>46147</v>
      </c>
      <c r="Q272" s="130">
        <v>472.5</v>
      </c>
    </row>
    <row r="273" spans="16:17" x14ac:dyDescent="0.15">
      <c r="P273" s="235">
        <v>46148</v>
      </c>
      <c r="Q273" s="130">
        <v>474</v>
      </c>
    </row>
    <row r="274" spans="16:17" x14ac:dyDescent="0.15">
      <c r="P274" s="235">
        <v>46149</v>
      </c>
      <c r="Q274" s="130">
        <v>475</v>
      </c>
    </row>
    <row r="275" spans="16:17" x14ac:dyDescent="0.15">
      <c r="P275" s="235">
        <v>46153</v>
      </c>
      <c r="Q275" s="130">
        <v>476</v>
      </c>
    </row>
    <row r="276" spans="16:17" x14ac:dyDescent="0.15">
      <c r="P276" s="235">
        <v>46154</v>
      </c>
      <c r="Q276" s="130">
        <v>476</v>
      </c>
    </row>
    <row r="277" spans="16:17" x14ac:dyDescent="0.15">
      <c r="P277" s="235">
        <v>46155</v>
      </c>
      <c r="Q277" s="130">
        <v>475</v>
      </c>
    </row>
    <row r="278" spans="16:17" x14ac:dyDescent="0.15">
      <c r="P278" s="235">
        <v>46156</v>
      </c>
      <c r="Q278" s="130">
        <v>476</v>
      </c>
    </row>
    <row r="279" spans="16:17" x14ac:dyDescent="0.15">
      <c r="P279" s="235">
        <v>46157</v>
      </c>
      <c r="Q279" s="130">
        <v>486.5</v>
      </c>
    </row>
    <row r="280" spans="16:17" x14ac:dyDescent="0.15">
      <c r="P280" s="235">
        <v>46160</v>
      </c>
      <c r="Q280" s="130">
        <v>493</v>
      </c>
    </row>
    <row r="281" spans="16:17" x14ac:dyDescent="0.15">
      <c r="P281" s="235">
        <v>46161</v>
      </c>
      <c r="Q281" s="130">
        <v>498</v>
      </c>
    </row>
    <row r="282" spans="16:17" x14ac:dyDescent="0.15">
      <c r="P282" s="235">
        <v>46162</v>
      </c>
      <c r="Q282" s="130">
        <v>506</v>
      </c>
    </row>
    <row r="283" spans="16:17" x14ac:dyDescent="0.15">
      <c r="P283" s="235">
        <v>46163</v>
      </c>
      <c r="Q283" s="130">
        <v>505</v>
      </c>
    </row>
    <row r="284" spans="16:17" x14ac:dyDescent="0.15">
      <c r="P284" s="235">
        <v>46164</v>
      </c>
      <c r="Q284" s="130">
        <v>500</v>
      </c>
    </row>
    <row r="285" spans="16:17" x14ac:dyDescent="0.15">
      <c r="P285" s="235">
        <v>46167</v>
      </c>
      <c r="Q285" s="130">
        <v>513</v>
      </c>
    </row>
    <row r="286" spans="16:17" x14ac:dyDescent="0.15">
      <c r="P286" s="235">
        <v>46168</v>
      </c>
      <c r="Q286" s="130">
        <v>518</v>
      </c>
    </row>
    <row r="287" spans="16:17" x14ac:dyDescent="0.15">
      <c r="P287" s="235">
        <v>46169</v>
      </c>
      <c r="Q287" s="130">
        <v>520</v>
      </c>
    </row>
    <row r="288" spans="16:17" x14ac:dyDescent="0.15">
      <c r="P288" s="235">
        <v>46170</v>
      </c>
      <c r="Q288" s="130">
        <v>524</v>
      </c>
    </row>
    <row r="289" spans="16:17" x14ac:dyDescent="0.15">
      <c r="P289" s="235">
        <v>46171</v>
      </c>
      <c r="Q289" s="130">
        <v>525</v>
      </c>
    </row>
    <row r="290" spans="16:17" x14ac:dyDescent="0.15">
      <c r="P290" s="235">
        <v>46174</v>
      </c>
      <c r="Q290" s="130">
        <v>522</v>
      </c>
    </row>
    <row r="291" spans="16:17" x14ac:dyDescent="0.15">
      <c r="P291" s="235">
        <v>46175</v>
      </c>
      <c r="Q291" s="130">
        <v>526</v>
      </c>
    </row>
    <row r="292" spans="16:17" x14ac:dyDescent="0.15">
      <c r="P292" s="235">
        <v>46176</v>
      </c>
      <c r="Q292" s="130">
        <v>525</v>
      </c>
    </row>
    <row r="293" spans="16:17" x14ac:dyDescent="0.15">
      <c r="P293" s="235">
        <v>46177</v>
      </c>
      <c r="Q293" s="130">
        <v>522</v>
      </c>
    </row>
    <row r="294" spans="16:17" x14ac:dyDescent="0.15">
      <c r="P294" s="235">
        <v>46178</v>
      </c>
      <c r="Q294" s="130">
        <v>523</v>
      </c>
    </row>
    <row r="295" spans="16:17" x14ac:dyDescent="0.15">
      <c r="P295" s="235">
        <v>46181</v>
      </c>
      <c r="Q295" s="130">
        <v>523</v>
      </c>
    </row>
    <row r="296" spans="16:17" x14ac:dyDescent="0.15">
      <c r="P296" s="235">
        <v>46182</v>
      </c>
      <c r="Q296" s="130">
        <v>522</v>
      </c>
    </row>
    <row r="297" spans="16:17" x14ac:dyDescent="0.15">
      <c r="P297" s="235">
        <v>46183</v>
      </c>
      <c r="Q297" s="130">
        <v>521</v>
      </c>
    </row>
    <row r="298" spans="16:17" x14ac:dyDescent="0.15">
      <c r="P298" s="235">
        <v>46184</v>
      </c>
      <c r="Q298" s="130">
        <v>520</v>
      </c>
    </row>
    <row r="299" spans="16:17" x14ac:dyDescent="0.15">
      <c r="P299" s="235">
        <v>46185</v>
      </c>
      <c r="Q299" s="130">
        <v>521</v>
      </c>
    </row>
    <row r="300" spans="16:17" x14ac:dyDescent="0.15">
      <c r="P300" s="235">
        <v>46188</v>
      </c>
      <c r="Q300" s="130">
        <v>521</v>
      </c>
    </row>
    <row r="301" spans="16:17" x14ac:dyDescent="0.15">
      <c r="P301" s="235">
        <v>46189</v>
      </c>
      <c r="Q301" s="130">
        <v>521</v>
      </c>
    </row>
    <row r="302" spans="16:17" x14ac:dyDescent="0.15">
      <c r="P302" s="235">
        <v>46190</v>
      </c>
      <c r="Q302" s="130">
        <v>527</v>
      </c>
    </row>
    <row r="303" spans="16:17" x14ac:dyDescent="0.15">
      <c r="P303" s="235">
        <v>46191</v>
      </c>
      <c r="Q303" s="130">
        <v>522</v>
      </c>
    </row>
    <row r="304" spans="16:17" x14ac:dyDescent="0.15">
      <c r="P304" s="235">
        <v>46192</v>
      </c>
      <c r="Q304" s="130">
        <v>525</v>
      </c>
    </row>
    <row r="305" spans="16:17" x14ac:dyDescent="0.15">
      <c r="P305" s="235">
        <v>46195</v>
      </c>
      <c r="Q305" s="130">
        <v>524</v>
      </c>
    </row>
    <row r="306" spans="16:17" x14ac:dyDescent="0.15">
      <c r="P306" s="235">
        <v>46196</v>
      </c>
      <c r="Q306" s="130">
        <v>521</v>
      </c>
    </row>
    <row r="307" spans="16:17" x14ac:dyDescent="0.15">
      <c r="P307" s="235">
        <v>46197</v>
      </c>
      <c r="Q307" s="130">
        <v>520</v>
      </c>
    </row>
    <row r="308" spans="16:17" x14ac:dyDescent="0.15">
      <c r="P308" s="235">
        <v>46198</v>
      </c>
      <c r="Q308" s="130">
        <v>508</v>
      </c>
    </row>
    <row r="309" spans="16:17" x14ac:dyDescent="0.15">
      <c r="P309" s="235">
        <v>46199</v>
      </c>
      <c r="Q309" s="130">
        <v>505</v>
      </c>
    </row>
    <row r="310" spans="16:17" x14ac:dyDescent="0.15">
      <c r="P310" s="235">
        <v>46202</v>
      </c>
      <c r="Q310" s="130">
        <v>502</v>
      </c>
    </row>
    <row r="311" spans="16:17" x14ac:dyDescent="0.15">
      <c r="P311" s="235">
        <v>46203</v>
      </c>
      <c r="Q311" s="130">
        <v>493</v>
      </c>
    </row>
  </sheetData>
  <mergeCells count="1">
    <mergeCell ref="F6:J6"/>
  </mergeCells>
  <pageMargins left="0.4" right="0.4" top="0.5" bottom="0.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0382-6DCF-DE4C-8B89-6F79B8956141}">
  <sheetPr>
    <outlinePr summaryBelow="0"/>
  </sheetPr>
  <dimension ref="A1:N153"/>
  <sheetViews>
    <sheetView showGridLines="0" workbookViewId="0"/>
  </sheetViews>
  <sheetFormatPr baseColWidth="10" defaultColWidth="8.83203125" defaultRowHeight="13" x14ac:dyDescent="0.15"/>
  <cols>
    <col min="1" max="1" width="2" customWidth="1"/>
    <col min="2" max="2" width="54" customWidth="1"/>
    <col min="3" max="3" width="8" customWidth="1"/>
    <col min="4" max="12" width="11" customWidth="1"/>
    <col min="13" max="13" width="2" customWidth="1"/>
    <col min="14" max="14" width="70" customWidth="1"/>
  </cols>
  <sheetData>
    <row r="1" spans="1:14" ht="26" customHeight="1" x14ac:dyDescent="0.15">
      <c r="A1" s="1"/>
      <c r="B1" s="2" t="s">
        <v>228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15">
      <c r="B2" s="17" t="s">
        <v>1</v>
      </c>
    </row>
    <row r="4" spans="1:14" ht="18" customHeight="1" x14ac:dyDescent="0.15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14" ht="17" customHeight="1" x14ac:dyDescent="0.15">
      <c r="B5" s="221" t="s">
        <v>229</v>
      </c>
      <c r="D5" s="51">
        <v>1</v>
      </c>
      <c r="E5" s="18"/>
      <c r="N5" s="52"/>
    </row>
    <row r="7" spans="1:14" ht="18" customHeight="1" x14ac:dyDescent="0.15">
      <c r="B7" s="5" t="s">
        <v>230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1:14" x14ac:dyDescent="0.15">
      <c r="B8" s="8" t="s">
        <v>170</v>
      </c>
      <c r="D8" s="120">
        <f>Inputs!D123</f>
        <v>6.573534159924678E-2</v>
      </c>
      <c r="N8" s="17"/>
    </row>
    <row r="9" spans="1:14" x14ac:dyDescent="0.15">
      <c r="B9" s="8" t="s">
        <v>169</v>
      </c>
      <c r="D9" s="121">
        <v>0.02</v>
      </c>
      <c r="N9" s="122" t="s">
        <v>655</v>
      </c>
    </row>
    <row r="10" spans="1:14" x14ac:dyDescent="0.15">
      <c r="B10" s="8" t="s">
        <v>196</v>
      </c>
      <c r="D10" s="168">
        <f>Comps!G30</f>
        <v>9.289673157035331</v>
      </c>
      <c r="N10" s="122"/>
    </row>
    <row r="12" spans="1:14" ht="18" customHeight="1" x14ac:dyDescent="0.15">
      <c r="B12" s="5" t="s">
        <v>231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4" x14ac:dyDescent="0.15">
      <c r="B13" s="17"/>
    </row>
    <row r="15" spans="1:14" x14ac:dyDescent="0.15">
      <c r="D15" s="148" t="s">
        <v>576</v>
      </c>
      <c r="E15" s="148" t="s">
        <v>643</v>
      </c>
      <c r="N15" s="122"/>
    </row>
    <row r="16" spans="1:14" x14ac:dyDescent="0.15">
      <c r="B16" s="11" t="s">
        <v>1</v>
      </c>
      <c r="C16" s="12"/>
      <c r="D16" s="146" t="s">
        <v>644</v>
      </c>
      <c r="E16" s="146" t="s">
        <v>609</v>
      </c>
    </row>
    <row r="17" spans="2:14" x14ac:dyDescent="0.15">
      <c r="B17" s="8" t="s">
        <v>645</v>
      </c>
      <c r="C17" s="124" t="s">
        <v>8</v>
      </c>
      <c r="D17" s="185">
        <f>Model!L286</f>
        <v>2609.0505237560947</v>
      </c>
      <c r="E17" s="185">
        <f>Model!L325</f>
        <v>2609.0505237560947</v>
      </c>
      <c r="N17" s="122"/>
    </row>
    <row r="18" spans="2:14" x14ac:dyDescent="0.15">
      <c r="B18" s="8" t="s">
        <v>184</v>
      </c>
      <c r="C18" s="124" t="s">
        <v>8</v>
      </c>
      <c r="D18" s="185">
        <f>Model!L287</f>
        <v>13108.110660293663</v>
      </c>
      <c r="E18" s="185">
        <f>Model!L326</f>
        <v>15159.802606223808</v>
      </c>
      <c r="N18" s="122"/>
    </row>
    <row r="19" spans="2:14" x14ac:dyDescent="0.15">
      <c r="B19" s="114" t="s">
        <v>179</v>
      </c>
      <c r="C19" s="124" t="s">
        <v>8</v>
      </c>
      <c r="D19" s="186">
        <f>SUM(D17:D18)</f>
        <v>15717.161184049757</v>
      </c>
      <c r="E19" s="186">
        <f>SUM(E17:E18)</f>
        <v>17768.853129979903</v>
      </c>
      <c r="N19" s="122"/>
    </row>
    <row r="20" spans="2:14" x14ac:dyDescent="0.15">
      <c r="B20" s="8" t="s">
        <v>187</v>
      </c>
      <c r="C20" s="124" t="s">
        <v>8</v>
      </c>
      <c r="D20" s="185">
        <f>Model!D292</f>
        <v>-6441.73</v>
      </c>
      <c r="E20" s="185">
        <f>Model!D331</f>
        <v>-6441.73</v>
      </c>
      <c r="N20" s="122"/>
    </row>
    <row r="21" spans="2:14" x14ac:dyDescent="0.15">
      <c r="B21" s="8" t="s">
        <v>189</v>
      </c>
      <c r="C21" s="124" t="s">
        <v>8</v>
      </c>
      <c r="D21" s="185">
        <f>Model!D293</f>
        <v>-350.20699999999999</v>
      </c>
      <c r="E21" s="185">
        <f>Model!D332</f>
        <v>-350.20699999999999</v>
      </c>
    </row>
    <row r="22" spans="2:14" x14ac:dyDescent="0.15">
      <c r="B22" s="8" t="s">
        <v>190</v>
      </c>
      <c r="C22" s="124" t="s">
        <v>8</v>
      </c>
      <c r="D22" s="185">
        <f>Model!D294</f>
        <v>390.52800000000002</v>
      </c>
      <c r="E22" s="185">
        <f>Model!D333</f>
        <v>390.52800000000002</v>
      </c>
    </row>
    <row r="23" spans="2:14" x14ac:dyDescent="0.15">
      <c r="B23" s="8" t="s">
        <v>192</v>
      </c>
      <c r="C23" s="124" t="s">
        <v>8</v>
      </c>
      <c r="D23" s="185">
        <f>Model!D295</f>
        <v>-447.16404599999998</v>
      </c>
      <c r="E23" s="185">
        <f>Model!D334</f>
        <v>-447.16404599999998</v>
      </c>
    </row>
    <row r="24" spans="2:14" x14ac:dyDescent="0.15">
      <c r="B24" s="114" t="s">
        <v>185</v>
      </c>
      <c r="C24" s="124" t="s">
        <v>8</v>
      </c>
      <c r="D24" s="186">
        <f>SUM(D19:D23)</f>
        <v>8868.5881380497576</v>
      </c>
      <c r="E24" s="186">
        <f>SUM(E19:E23)</f>
        <v>10920.280083979904</v>
      </c>
    </row>
    <row r="25" spans="2:14" x14ac:dyDescent="0.15">
      <c r="B25" s="8" t="s">
        <v>188</v>
      </c>
      <c r="C25" s="124" t="s">
        <v>53</v>
      </c>
      <c r="D25" s="159">
        <f>SharesOut</f>
        <v>21.333731</v>
      </c>
      <c r="E25" s="159">
        <f>SharesOut</f>
        <v>21.333731</v>
      </c>
      <c r="N25" s="122"/>
    </row>
    <row r="26" spans="2:14" x14ac:dyDescent="0.15">
      <c r="B26" s="114" t="s">
        <v>186</v>
      </c>
      <c r="C26" s="124" t="s">
        <v>50</v>
      </c>
      <c r="D26" s="145">
        <f>D24/D25</f>
        <v>415.70731992682187</v>
      </c>
      <c r="E26" s="145">
        <f>E24/E25</f>
        <v>511.87858719976845</v>
      </c>
      <c r="N26" s="122"/>
    </row>
    <row r="27" spans="2:14" x14ac:dyDescent="0.15">
      <c r="B27" s="8" t="s">
        <v>191</v>
      </c>
      <c r="C27" s="124" t="s">
        <v>50</v>
      </c>
      <c r="D27" s="131">
        <f>Model!L294</f>
        <v>493</v>
      </c>
      <c r="E27" s="131">
        <f>Model!L333</f>
        <v>493</v>
      </c>
      <c r="N27" s="122"/>
    </row>
    <row r="28" spans="2:14" x14ac:dyDescent="0.15">
      <c r="B28" s="114" t="s">
        <v>193</v>
      </c>
      <c r="C28" s="124" t="s">
        <v>194</v>
      </c>
      <c r="D28" s="184">
        <f>D26/D27-1</f>
        <v>-0.15678028412409362</v>
      </c>
      <c r="E28" s="184">
        <f>E26/E27-1</f>
        <v>3.8293280324073864E-2</v>
      </c>
    </row>
    <row r="30" spans="2:14" x14ac:dyDescent="0.15">
      <c r="B30" s="151" t="s">
        <v>646</v>
      </c>
    </row>
    <row r="31" spans="2:14" x14ac:dyDescent="0.15">
      <c r="B31" s="8" t="s">
        <v>647</v>
      </c>
      <c r="C31" s="124" t="s">
        <v>194</v>
      </c>
      <c r="D31" s="181">
        <f>Model!K287</f>
        <v>0.8339998875621486</v>
      </c>
      <c r="E31" s="181">
        <f>Model!K326</f>
        <v>0.85316719629169191</v>
      </c>
      <c r="N31" s="122"/>
    </row>
    <row r="32" spans="2:14" x14ac:dyDescent="0.15">
      <c r="B32" s="8" t="s">
        <v>195</v>
      </c>
      <c r="C32" s="124" t="s">
        <v>133</v>
      </c>
      <c r="D32" s="168">
        <f>Model!L296</f>
        <v>7.7800865275952873</v>
      </c>
      <c r="E32" s="168">
        <f>D10</f>
        <v>9.289673157035331</v>
      </c>
      <c r="N32" s="122"/>
    </row>
    <row r="33" spans="2:14" x14ac:dyDescent="0.15">
      <c r="B33" s="8" t="s">
        <v>648</v>
      </c>
      <c r="C33" s="124" t="s">
        <v>194</v>
      </c>
      <c r="D33" s="181">
        <f>D9</f>
        <v>0.02</v>
      </c>
      <c r="E33" s="181">
        <f>Model!L335</f>
        <v>2.595869343423228E-2</v>
      </c>
      <c r="N33" s="122"/>
    </row>
    <row r="35" spans="2:14" ht="18" customHeight="1" x14ac:dyDescent="0.15">
      <c r="B35" s="5" t="s">
        <v>232</v>
      </c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2:14" x14ac:dyDescent="0.15">
      <c r="B36" s="17"/>
    </row>
    <row r="38" spans="2:14" x14ac:dyDescent="0.15">
      <c r="G38" s="148" t="s">
        <v>649</v>
      </c>
    </row>
    <row r="39" spans="2:14" x14ac:dyDescent="0.15">
      <c r="B39" s="11" t="s">
        <v>650</v>
      </c>
      <c r="C39" s="12"/>
      <c r="D39" s="146" t="s">
        <v>569</v>
      </c>
      <c r="E39" s="146" t="s">
        <v>570</v>
      </c>
      <c r="F39" s="146" t="s">
        <v>571</v>
      </c>
      <c r="G39" s="146" t="s">
        <v>651</v>
      </c>
      <c r="N39" s="122"/>
    </row>
    <row r="40" spans="2:14" x14ac:dyDescent="0.15">
      <c r="B40" s="8" t="s">
        <v>652</v>
      </c>
      <c r="C40" s="124" t="s">
        <v>50</v>
      </c>
      <c r="D40" s="131">
        <f>MIN(F117:H119)</f>
        <v>292.45327360734848</v>
      </c>
      <c r="E40" s="131">
        <f>F40-D40</f>
        <v>315.32049104675366</v>
      </c>
      <c r="F40" s="131">
        <f>MAX(F117:H119)</f>
        <v>607.77376465410214</v>
      </c>
      <c r="G40" s="131">
        <f>G118</f>
        <v>415.70731992682198</v>
      </c>
      <c r="N40" s="122"/>
    </row>
    <row r="41" spans="2:14" x14ac:dyDescent="0.15">
      <c r="B41" s="8" t="s">
        <v>653</v>
      </c>
      <c r="C41" s="124" t="s">
        <v>50</v>
      </c>
      <c r="D41" s="131">
        <f>MIN(F142:H144)</f>
        <v>420.92544849443846</v>
      </c>
      <c r="E41" s="131">
        <f>F41-D41</f>
        <v>185.55306467727428</v>
      </c>
      <c r="F41" s="131">
        <f>MAX(F142:H144)</f>
        <v>606.47851317171273</v>
      </c>
      <c r="G41" s="131">
        <f>G143</f>
        <v>511.87858719976845</v>
      </c>
      <c r="N41" s="122"/>
    </row>
    <row r="42" spans="2:14" x14ac:dyDescent="0.15">
      <c r="B42" s="8" t="s">
        <v>572</v>
      </c>
      <c r="C42" s="124" t="s">
        <v>50</v>
      </c>
      <c r="D42" s="131">
        <f>Comps!D67</f>
        <v>200.30552956404566</v>
      </c>
      <c r="E42" s="131">
        <f>Comps!E67</f>
        <v>431.93027511474065</v>
      </c>
      <c r="F42" s="131">
        <f>Comps!F67</f>
        <v>632.23580467878628</v>
      </c>
      <c r="G42" s="131">
        <f>Comps!G67</f>
        <v>451.57754757849858</v>
      </c>
      <c r="N42" s="122"/>
    </row>
    <row r="43" spans="2:14" x14ac:dyDescent="0.15">
      <c r="B43" s="8" t="s">
        <v>573</v>
      </c>
      <c r="C43" s="124" t="s">
        <v>50</v>
      </c>
      <c r="D43" s="131">
        <f>Comps!D68</f>
        <v>216.7002107524026</v>
      </c>
      <c r="E43" s="131">
        <f>Comps!E68</f>
        <v>205.20718306664537</v>
      </c>
      <c r="F43" s="131">
        <f>Comps!F68</f>
        <v>421.90739381904797</v>
      </c>
      <c r="G43" s="131">
        <f>Comps!G68</f>
        <v>292.33561287000498</v>
      </c>
      <c r="N43" s="122"/>
    </row>
    <row r="44" spans="2:14" x14ac:dyDescent="0.15">
      <c r="B44" s="8" t="s">
        <v>600</v>
      </c>
      <c r="C44" s="124" t="s">
        <v>50</v>
      </c>
      <c r="D44" s="131">
        <f>Comps!D69</f>
        <v>577.18757933152915</v>
      </c>
      <c r="E44" s="131">
        <f>Comps!E69</f>
        <v>408.70860998749515</v>
      </c>
      <c r="F44" s="131">
        <f>Comps!F69</f>
        <v>985.8961893190243</v>
      </c>
      <c r="G44" s="131">
        <f>Comps!G69</f>
        <v>740.6678864118752</v>
      </c>
      <c r="N44" s="122"/>
    </row>
    <row r="45" spans="2:14" x14ac:dyDescent="0.15">
      <c r="B45" s="8" t="s">
        <v>654</v>
      </c>
      <c r="C45" s="124" t="s">
        <v>50</v>
      </c>
      <c r="D45" s="131">
        <f>MIN(Dashboard!$Q$62:$Q$311)</f>
        <v>450</v>
      </c>
      <c r="E45" s="131">
        <f>F45-D45</f>
        <v>96</v>
      </c>
      <c r="F45" s="131">
        <f>MAX(Dashboard!$Q$62:$Q$311)</f>
        <v>546</v>
      </c>
      <c r="G45" s="131">
        <f>Inputs!D113</f>
        <v>493</v>
      </c>
      <c r="N45" s="122" t="s">
        <v>656</v>
      </c>
    </row>
    <row r="46" spans="2:14" x14ac:dyDescent="0.15">
      <c r="B46" s="236" t="s">
        <v>743</v>
      </c>
      <c r="C46" s="124" t="s">
        <v>50</v>
      </c>
      <c r="G46" s="225">
        <f>AVERAGE(G40:G42)</f>
        <v>459.72115156836298</v>
      </c>
    </row>
    <row r="48" spans="2:14" ht="18" customHeight="1" x14ac:dyDescent="0.15">
      <c r="B48" s="5" t="s">
        <v>574</v>
      </c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2:14" x14ac:dyDescent="0.15">
      <c r="B49" s="17"/>
    </row>
    <row r="51" spans="2:14" x14ac:dyDescent="0.15">
      <c r="B51" s="151" t="s">
        <v>575</v>
      </c>
    </row>
    <row r="52" spans="2:14" x14ac:dyDescent="0.15">
      <c r="D52" s="148" t="s">
        <v>576</v>
      </c>
      <c r="E52" s="148" t="s">
        <v>577</v>
      </c>
      <c r="F52" s="148" t="s">
        <v>576</v>
      </c>
      <c r="G52" s="148" t="s">
        <v>577</v>
      </c>
      <c r="H52" s="148" t="s">
        <v>578</v>
      </c>
      <c r="I52" s="148" t="s">
        <v>578</v>
      </c>
      <c r="J52" s="148" t="s">
        <v>579</v>
      </c>
      <c r="K52" s="148" t="s">
        <v>580</v>
      </c>
      <c r="L52" s="148" t="s">
        <v>581</v>
      </c>
    </row>
    <row r="53" spans="2:14" x14ac:dyDescent="0.15">
      <c r="B53" s="11" t="s">
        <v>2</v>
      </c>
      <c r="C53" s="12" t="s">
        <v>582</v>
      </c>
      <c r="D53" s="146" t="s">
        <v>583</v>
      </c>
      <c r="E53" s="146" t="s">
        <v>583</v>
      </c>
      <c r="F53" s="146" t="s">
        <v>584</v>
      </c>
      <c r="G53" s="146" t="s">
        <v>584</v>
      </c>
      <c r="H53" s="146" t="s">
        <v>585</v>
      </c>
      <c r="I53" s="146" t="s">
        <v>586</v>
      </c>
      <c r="J53" s="146" t="s">
        <v>585</v>
      </c>
      <c r="K53" s="146" t="s">
        <v>587</v>
      </c>
      <c r="L53" s="146" t="s">
        <v>588</v>
      </c>
    </row>
    <row r="54" spans="2:14" x14ac:dyDescent="0.15">
      <c r="D54" s="158" t="s">
        <v>50</v>
      </c>
      <c r="E54" s="158" t="s">
        <v>50</v>
      </c>
      <c r="F54" s="158" t="s">
        <v>194</v>
      </c>
      <c r="G54" s="158" t="s">
        <v>194</v>
      </c>
      <c r="H54" s="158" t="s">
        <v>8</v>
      </c>
      <c r="I54" s="158" t="s">
        <v>8</v>
      </c>
      <c r="J54" s="158" t="s">
        <v>50</v>
      </c>
      <c r="K54" s="158" t="s">
        <v>8</v>
      </c>
      <c r="L54" s="158" t="s">
        <v>133</v>
      </c>
    </row>
    <row r="55" spans="2:14" x14ac:dyDescent="0.15">
      <c r="B55" s="114" t="s">
        <v>589</v>
      </c>
      <c r="C55" s="10"/>
      <c r="D55" s="131">
        <f>Model!L293</f>
        <v>415.70731992682198</v>
      </c>
      <c r="E55" s="131">
        <f>Model!L332</f>
        <v>511.87858719976845</v>
      </c>
      <c r="F55" s="181">
        <f>Model!L295</f>
        <v>-0.15678028412409339</v>
      </c>
      <c r="G55" s="181">
        <f>Model!L334</f>
        <v>3.8293280324073864E-2</v>
      </c>
      <c r="H55" s="185">
        <f>Model!H38</f>
        <v>1885.9221448704006</v>
      </c>
      <c r="I55" s="185">
        <f>Model!L38</f>
        <v>2174.2258116277912</v>
      </c>
      <c r="J55" s="159">
        <f>Model!H76</f>
        <v>21.386268935044317</v>
      </c>
      <c r="K55" s="185">
        <f>SUM(Model!H157:L157)</f>
        <v>-1005.0500677938379</v>
      </c>
      <c r="L55" s="168">
        <f>Model!J221</f>
        <v>3.5204171895231933</v>
      </c>
      <c r="N55" s="122"/>
    </row>
    <row r="56" spans="2:14" x14ac:dyDescent="0.15">
      <c r="B56" s="112" t="str">
        <f>Inputs!D131</f>
        <v>Base case</v>
      </c>
      <c r="C56" s="9">
        <v>1</v>
      </c>
      <c r="D56" s="131">
        <f t="dataTable" ref="D56:L58" dt2D="0" dtr="0" r1="D5" ca="1"/>
        <v>415.70731992682198</v>
      </c>
      <c r="E56" s="131">
        <v>511.87858719976845</v>
      </c>
      <c r="F56" s="181">
        <v>-0.15678028412409339</v>
      </c>
      <c r="G56" s="181">
        <v>3.8293280324073864E-2</v>
      </c>
      <c r="H56" s="185">
        <v>1885.9221448704006</v>
      </c>
      <c r="I56" s="185">
        <v>2174.2258116277912</v>
      </c>
      <c r="J56" s="159">
        <v>21.386268935044317</v>
      </c>
      <c r="K56" s="185">
        <v>-1005.0500677938379</v>
      </c>
      <c r="L56" s="168">
        <v>3.5204171895231933</v>
      </c>
      <c r="N56" s="122"/>
    </row>
    <row r="57" spans="2:14" x14ac:dyDescent="0.15">
      <c r="B57" s="112" t="str">
        <f>Inputs!D132</f>
        <v>Upside case</v>
      </c>
      <c r="C57" s="9">
        <v>2</v>
      </c>
      <c r="D57" s="131">
        <v>633.04506634948302</v>
      </c>
      <c r="E57" s="131">
        <v>653.96089731447171</v>
      </c>
      <c r="F57" s="181">
        <v>0.28406707170280532</v>
      </c>
      <c r="G57" s="181">
        <v>0.32649269232144373</v>
      </c>
      <c r="H57" s="185">
        <v>2006.1539952048001</v>
      </c>
      <c r="I57" s="185">
        <v>2476.2880522783184</v>
      </c>
      <c r="J57" s="159">
        <v>25.348210275032283</v>
      </c>
      <c r="K57" s="185">
        <v>164.46712113202835</v>
      </c>
      <c r="L57" s="168">
        <v>2.8729432863546878</v>
      </c>
    </row>
    <row r="58" spans="2:14" x14ac:dyDescent="0.15">
      <c r="B58" s="112" t="str">
        <f>Inputs!D133</f>
        <v>Downside case</v>
      </c>
      <c r="C58" s="9">
        <v>3</v>
      </c>
      <c r="D58" s="131">
        <v>179.98892062733856</v>
      </c>
      <c r="E58" s="131">
        <v>309.9199330888938</v>
      </c>
      <c r="F58" s="181">
        <v>-0.63491091150641266</v>
      </c>
      <c r="G58" s="181">
        <v>-0.37135916209149333</v>
      </c>
      <c r="H58" s="185">
        <v>1621.4213232480001</v>
      </c>
      <c r="I58" s="185">
        <v>1671.4049071846989</v>
      </c>
      <c r="J58" s="159">
        <v>12.670302768575437</v>
      </c>
      <c r="K58" s="185">
        <v>-1068.8705214418849</v>
      </c>
      <c r="L58" s="168">
        <v>4.4832942251199306</v>
      </c>
    </row>
    <row r="60" spans="2:14" x14ac:dyDescent="0.15">
      <c r="B60" s="151" t="s">
        <v>590</v>
      </c>
    </row>
    <row r="61" spans="2:14" x14ac:dyDescent="0.15">
      <c r="B61" s="11" t="s">
        <v>1</v>
      </c>
      <c r="C61" s="12"/>
      <c r="D61" s="146"/>
      <c r="E61" s="146"/>
      <c r="F61" s="146"/>
      <c r="G61" s="146" t="s">
        <v>582</v>
      </c>
      <c r="H61" s="142">
        <f>Model!H$4</f>
        <v>2026</v>
      </c>
      <c r="I61" s="142">
        <f>Model!I$4</f>
        <v>2027</v>
      </c>
      <c r="J61" s="142">
        <f>Model!J$4</f>
        <v>2028</v>
      </c>
      <c r="K61" s="142">
        <f>Model!K$4</f>
        <v>2029</v>
      </c>
      <c r="L61" s="142">
        <f>Model!L$4</f>
        <v>2030</v>
      </c>
    </row>
    <row r="63" spans="2:14" x14ac:dyDescent="0.15">
      <c r="B63" s="144" t="s">
        <v>15</v>
      </c>
      <c r="C63" s="124" t="s">
        <v>8</v>
      </c>
      <c r="G63" s="10"/>
      <c r="H63" s="185">
        <f>Model!H16</f>
        <v>11499.525273600002</v>
      </c>
      <c r="I63" s="185">
        <f>Model!I16</f>
        <v>12005.815477824002</v>
      </c>
      <c r="J63" s="185">
        <f>Model!J16</f>
        <v>12476.601196997761</v>
      </c>
      <c r="K63" s="185">
        <f>Model!K16</f>
        <v>12913.268367251578</v>
      </c>
      <c r="L63" s="185">
        <f>Model!L16</f>
        <v>13338.8086602932</v>
      </c>
      <c r="N63" s="122"/>
    </row>
    <row r="64" spans="2:14" x14ac:dyDescent="0.15">
      <c r="B64" s="112" t="str">
        <f>Inputs!D131</f>
        <v>Base case</v>
      </c>
      <c r="G64" s="9">
        <v>1</v>
      </c>
      <c r="H64" s="185">
        <f t="dataTable" ref="H64:L66" dt2D="0" dtr="0" r1="D5" ca="1"/>
        <v>11499.525273600002</v>
      </c>
      <c r="I64" s="185">
        <v>12005.815477824002</v>
      </c>
      <c r="J64" s="185">
        <v>12476.601196997761</v>
      </c>
      <c r="K64" s="185">
        <v>12913.268367251578</v>
      </c>
      <c r="L64" s="185">
        <v>13338.8086602932</v>
      </c>
    </row>
    <row r="65" spans="2:14" x14ac:dyDescent="0.15">
      <c r="B65" s="112" t="str">
        <f>Inputs!D132</f>
        <v>Upside case</v>
      </c>
      <c r="G65" s="9">
        <v>2</v>
      </c>
      <c r="H65" s="185">
        <v>11731.8947088</v>
      </c>
      <c r="I65" s="185">
        <v>12407.36402112</v>
      </c>
      <c r="J65" s="185">
        <v>13039.078471724162</v>
      </c>
      <c r="K65" s="185">
        <v>13619.73624377301</v>
      </c>
      <c r="L65" s="185">
        <v>14150.217441590394</v>
      </c>
    </row>
    <row r="66" spans="2:14" x14ac:dyDescent="0.15">
      <c r="B66" s="112" t="str">
        <f>Inputs!D133</f>
        <v>Downside case</v>
      </c>
      <c r="G66" s="9">
        <v>3</v>
      </c>
      <c r="H66" s="185">
        <v>11182.2160224</v>
      </c>
      <c r="I66" s="185">
        <v>11412.575890463999</v>
      </c>
      <c r="J66" s="185">
        <v>11099.714002264322</v>
      </c>
      <c r="K66" s="185">
        <v>11450.953317019374</v>
      </c>
      <c r="L66" s="185">
        <v>11688.146204088805</v>
      </c>
    </row>
    <row r="68" spans="2:14" x14ac:dyDescent="0.15">
      <c r="B68" s="144" t="s">
        <v>28</v>
      </c>
      <c r="C68" s="124" t="s">
        <v>8</v>
      </c>
      <c r="G68" s="10"/>
      <c r="H68" s="185">
        <f>Model!H38</f>
        <v>1885.9221448704006</v>
      </c>
      <c r="I68" s="185">
        <f>Model!I38</f>
        <v>1932.9362919296641</v>
      </c>
      <c r="J68" s="185">
        <f>Model!J38</f>
        <v>2021.2093939136362</v>
      </c>
      <c r="K68" s="185">
        <f>Model!K38</f>
        <v>2104.8627438620078</v>
      </c>
      <c r="L68" s="185">
        <f>Model!L38</f>
        <v>2174.2258116277912</v>
      </c>
      <c r="N68" s="122"/>
    </row>
    <row r="69" spans="2:14" x14ac:dyDescent="0.15">
      <c r="B69" s="112" t="str">
        <f>Inputs!D131</f>
        <v>Base case</v>
      </c>
      <c r="G69" s="9">
        <v>1</v>
      </c>
      <c r="H69" s="185">
        <f t="dataTable" ref="H69:L71" dt2D="0" dtr="0" r1="D5" ca="1"/>
        <v>1885.9221448704006</v>
      </c>
      <c r="I69" s="185">
        <v>1932.9362919296641</v>
      </c>
      <c r="J69" s="185">
        <v>2021.2093939136362</v>
      </c>
      <c r="K69" s="185">
        <v>2104.8627438620078</v>
      </c>
      <c r="L69" s="185">
        <v>2174.2258116277912</v>
      </c>
    </row>
    <row r="70" spans="2:14" x14ac:dyDescent="0.15">
      <c r="B70" s="112" t="str">
        <f>Inputs!D132</f>
        <v>Upside case</v>
      </c>
      <c r="G70" s="9">
        <v>2</v>
      </c>
      <c r="H70" s="185">
        <v>2006.1539952048001</v>
      </c>
      <c r="I70" s="185">
        <v>2146.4739756537601</v>
      </c>
      <c r="J70" s="185">
        <v>2268.7996540800045</v>
      </c>
      <c r="K70" s="185">
        <v>2383.4538426602753</v>
      </c>
      <c r="L70" s="185">
        <v>2476.2880522783184</v>
      </c>
    </row>
    <row r="71" spans="2:14" x14ac:dyDescent="0.15">
      <c r="B71" s="112" t="str">
        <f>Inputs!D133</f>
        <v>Downside case</v>
      </c>
      <c r="G71" s="9">
        <v>3</v>
      </c>
      <c r="H71" s="185">
        <v>1621.4213232480001</v>
      </c>
      <c r="I71" s="185">
        <v>1643.4109282268159</v>
      </c>
      <c r="J71" s="185">
        <v>1587.2591023237978</v>
      </c>
      <c r="K71" s="185">
        <v>1637.4863243337709</v>
      </c>
      <c r="L71" s="185">
        <v>1671.4049071846989</v>
      </c>
    </row>
    <row r="73" spans="2:14" x14ac:dyDescent="0.15">
      <c r="B73" s="144" t="s">
        <v>162</v>
      </c>
      <c r="C73" s="124" t="s">
        <v>8</v>
      </c>
      <c r="G73" s="10"/>
      <c r="H73" s="185">
        <f>Model!H259</f>
        <v>48.391828872195276</v>
      </c>
      <c r="I73" s="185">
        <f>Model!I259</f>
        <v>446.5559557324359</v>
      </c>
      <c r="J73" s="185">
        <f>Model!J259</f>
        <v>583.8945947422701</v>
      </c>
      <c r="K73" s="185">
        <f>Model!K259</f>
        <v>674.82263324068879</v>
      </c>
      <c r="L73" s="185">
        <f>Model!L259</f>
        <v>758.47423003702386</v>
      </c>
      <c r="N73" s="122"/>
    </row>
    <row r="74" spans="2:14" x14ac:dyDescent="0.15">
      <c r="B74" s="112" t="str">
        <f>Inputs!D131</f>
        <v>Base case</v>
      </c>
      <c r="G74" s="9">
        <v>1</v>
      </c>
      <c r="H74" s="185">
        <f t="dataTable" ref="H74:L76" dt2D="0" dtr="0" r1="D5" ca="1"/>
        <v>48.391828872195276</v>
      </c>
      <c r="I74" s="185">
        <v>446.5559557324359</v>
      </c>
      <c r="J74" s="185">
        <v>583.8945947422701</v>
      </c>
      <c r="K74" s="185">
        <v>674.82263324068879</v>
      </c>
      <c r="L74" s="185">
        <v>758.47423003702386</v>
      </c>
    </row>
    <row r="75" spans="2:14" x14ac:dyDescent="0.15">
      <c r="B75" s="112" t="str">
        <f>Inputs!D132</f>
        <v>Upside case</v>
      </c>
      <c r="G75" s="9">
        <v>2</v>
      </c>
      <c r="H75" s="185">
        <v>153.27992560103166</v>
      </c>
      <c r="I75" s="185">
        <v>669.08942744020214</v>
      </c>
      <c r="J75" s="185">
        <v>837.87719009957561</v>
      </c>
      <c r="K75" s="185">
        <v>944.92432174372152</v>
      </c>
      <c r="L75" s="185">
        <v>973.23901455286978</v>
      </c>
    </row>
    <row r="76" spans="2:14" x14ac:dyDescent="0.15">
      <c r="B76" s="112" t="str">
        <f>Inputs!D133</f>
        <v>Downside case</v>
      </c>
      <c r="G76" s="9">
        <v>3</v>
      </c>
      <c r="H76" s="185">
        <v>-52.791071600535361</v>
      </c>
      <c r="I76" s="185">
        <v>279.03192136963435</v>
      </c>
      <c r="J76" s="185">
        <v>387.50195758118559</v>
      </c>
      <c r="K76" s="185">
        <v>452.59351331873768</v>
      </c>
      <c r="L76" s="185">
        <v>513.93703247869792</v>
      </c>
    </row>
    <row r="78" spans="2:14" x14ac:dyDescent="0.15">
      <c r="B78" s="144" t="s">
        <v>579</v>
      </c>
      <c r="C78" s="124" t="s">
        <v>50</v>
      </c>
      <c r="G78" s="10"/>
      <c r="H78" s="159">
        <f>Model!H76</f>
        <v>21.386268935044317</v>
      </c>
      <c r="I78" s="159">
        <f>Model!I76</f>
        <v>17.615872714905635</v>
      </c>
      <c r="J78" s="159">
        <f>Model!J76</f>
        <v>18.634326624550699</v>
      </c>
      <c r="K78" s="159">
        <f>Model!K76</f>
        <v>20.364785685182255</v>
      </c>
      <c r="L78" s="159">
        <f>Model!L76</f>
        <v>22.017323407142076</v>
      </c>
      <c r="N78" s="122"/>
    </row>
    <row r="79" spans="2:14" x14ac:dyDescent="0.15">
      <c r="B79" s="112" t="str">
        <f>Inputs!D131</f>
        <v>Base case</v>
      </c>
      <c r="G79" s="9">
        <v>1</v>
      </c>
      <c r="H79" s="159">
        <f t="dataTable" ref="H79:L81" dt2D="0" dtr="0" r1="D5" ca="1"/>
        <v>21.386268935044317</v>
      </c>
      <c r="I79" s="159">
        <v>17.615872714905635</v>
      </c>
      <c r="J79" s="159">
        <v>18.634326624550699</v>
      </c>
      <c r="K79" s="159">
        <v>20.364785685182255</v>
      </c>
      <c r="L79" s="159">
        <v>22.017323407142076</v>
      </c>
    </row>
    <row r="80" spans="2:14" x14ac:dyDescent="0.15">
      <c r="B80" s="112" t="str">
        <f>Inputs!D132</f>
        <v>Upside case</v>
      </c>
      <c r="G80" s="9">
        <v>2</v>
      </c>
      <c r="H80" s="159">
        <v>25.348210275032283</v>
      </c>
      <c r="I80" s="159">
        <v>24.995394781783109</v>
      </c>
      <c r="J80" s="159">
        <v>27.935336640228922</v>
      </c>
      <c r="K80" s="159">
        <v>31.450976647030362</v>
      </c>
      <c r="L80" s="159">
        <v>34.602890416491633</v>
      </c>
    </row>
    <row r="81" spans="2:14" x14ac:dyDescent="0.15">
      <c r="B81" s="112" t="str">
        <f>Inputs!D133</f>
        <v>Downside case</v>
      </c>
      <c r="G81" s="9">
        <v>3</v>
      </c>
      <c r="H81" s="159">
        <v>12.670302768575437</v>
      </c>
      <c r="I81" s="159">
        <v>8.1250155516495113</v>
      </c>
      <c r="J81" s="159">
        <v>4.8063047083735766</v>
      </c>
      <c r="K81" s="159">
        <v>6.1504654470073739</v>
      </c>
      <c r="L81" s="159">
        <v>7.2023855656368472</v>
      </c>
    </row>
    <row r="83" spans="2:14" x14ac:dyDescent="0.15">
      <c r="B83" s="144" t="s">
        <v>152</v>
      </c>
      <c r="C83" s="124" t="s">
        <v>133</v>
      </c>
      <c r="G83" s="10"/>
      <c r="H83" s="168">
        <f>Model!H221</f>
        <v>3.5315344146327359</v>
      </c>
      <c r="I83" s="168">
        <f>Model!I221</f>
        <v>3.5962100175438061</v>
      </c>
      <c r="J83" s="168">
        <f>Model!J221</f>
        <v>3.5204171895231933</v>
      </c>
      <c r="K83" s="168">
        <f>Model!K221</f>
        <v>3.4182126824820598</v>
      </c>
      <c r="L83" s="168">
        <f>Model!L221</f>
        <v>3.3085778172770857</v>
      </c>
      <c r="N83" s="122"/>
    </row>
    <row r="84" spans="2:14" x14ac:dyDescent="0.15">
      <c r="B84" s="112" t="str">
        <f>Inputs!D131</f>
        <v>Base case</v>
      </c>
      <c r="G84" s="9">
        <v>1</v>
      </c>
      <c r="H84" s="168">
        <f t="dataTable" ref="H84:L86" dt2D="0" dtr="0" r1="D5" ca="1"/>
        <v>3.5315344146327359</v>
      </c>
      <c r="I84" s="168">
        <v>3.5962100175438061</v>
      </c>
      <c r="J84" s="168">
        <v>3.5204171895231933</v>
      </c>
      <c r="K84" s="168">
        <v>3.4182126824820598</v>
      </c>
      <c r="L84" s="168">
        <v>3.3085778172770857</v>
      </c>
    </row>
    <row r="85" spans="2:14" x14ac:dyDescent="0.15">
      <c r="B85" s="112" t="str">
        <f>Inputs!D132</f>
        <v>Upside case</v>
      </c>
      <c r="G85" s="9">
        <v>2</v>
      </c>
      <c r="H85" s="168">
        <v>3.2676010300643759</v>
      </c>
      <c r="I85" s="168">
        <v>3.0841249832969453</v>
      </c>
      <c r="J85" s="168">
        <v>2.8729432863546878</v>
      </c>
      <c r="K85" s="168">
        <v>2.6455304553416945</v>
      </c>
      <c r="L85" s="168">
        <v>2.4459359027930421</v>
      </c>
    </row>
    <row r="86" spans="2:14" x14ac:dyDescent="0.15">
      <c r="B86" s="112" t="str">
        <f>Inputs!D133</f>
        <v>Downside case</v>
      </c>
      <c r="G86" s="9">
        <v>3</v>
      </c>
      <c r="H86" s="168">
        <v>4.1700338841333755</v>
      </c>
      <c r="I86" s="168">
        <v>4.2527124255839865</v>
      </c>
      <c r="J86" s="168">
        <v>4.4832942251199306</v>
      </c>
      <c r="K86" s="168">
        <v>4.386406765514316</v>
      </c>
      <c r="L86" s="168">
        <v>4.3019081576461682</v>
      </c>
    </row>
    <row r="88" spans="2:14" x14ac:dyDescent="0.15">
      <c r="B88" s="144" t="s">
        <v>720</v>
      </c>
      <c r="C88" s="124" t="s">
        <v>133</v>
      </c>
      <c r="G88" s="10"/>
      <c r="H88" s="168">
        <f>Model!H227</f>
        <v>3.1068171143195085</v>
      </c>
      <c r="I88" s="168">
        <f>Model!I227</f>
        <v>2.7666640796500928</v>
      </c>
      <c r="J88" s="168">
        <f>Model!J227</f>
        <v>2.836356372790187</v>
      </c>
      <c r="K88" s="168">
        <f>Model!K227</f>
        <v>2.9114900692128032</v>
      </c>
      <c r="L88" s="168">
        <f>Model!L227</f>
        <v>2.9671429787388233</v>
      </c>
    </row>
    <row r="89" spans="2:14" x14ac:dyDescent="0.15">
      <c r="B89" s="112" t="str">
        <f>Inputs!D131</f>
        <v>Base case</v>
      </c>
      <c r="G89" s="9">
        <v>1</v>
      </c>
      <c r="H89" s="168">
        <f t="dataTable" ref="H89:L91" dt2D="0" dtr="0" r1="D5" ca="1"/>
        <v>3.1068171143195085</v>
      </c>
      <c r="I89" s="168">
        <v>2.7666640796500928</v>
      </c>
      <c r="J89" s="168">
        <v>2.836356372790187</v>
      </c>
      <c r="K89" s="168">
        <v>2.9114900692128032</v>
      </c>
      <c r="L89" s="168">
        <v>2.9671429787388233</v>
      </c>
    </row>
    <row r="90" spans="2:14" x14ac:dyDescent="0.15">
      <c r="B90" s="112" t="str">
        <f>Inputs!D132</f>
        <v>Upside case</v>
      </c>
      <c r="G90" s="9">
        <v>2</v>
      </c>
      <c r="H90" s="168">
        <v>3.2454767965952027</v>
      </c>
      <c r="I90" s="168">
        <v>2.9957266295858216</v>
      </c>
      <c r="J90" s="168">
        <v>3.1571550635223802</v>
      </c>
      <c r="K90" s="168">
        <v>3.3096651264474248</v>
      </c>
      <c r="L90" s="168">
        <v>3.4435816675918343</v>
      </c>
    </row>
    <row r="91" spans="2:14" x14ac:dyDescent="0.15">
      <c r="B91" s="112" t="str">
        <f>Inputs!D133</f>
        <v>Downside case</v>
      </c>
      <c r="G91" s="9">
        <v>3</v>
      </c>
      <c r="H91" s="168">
        <v>2.8462722646463905</v>
      </c>
      <c r="I91" s="168">
        <v>2.4072815860448418</v>
      </c>
      <c r="J91" s="168">
        <v>2.3565189555303725</v>
      </c>
      <c r="K91" s="168">
        <v>2.4329303919804124</v>
      </c>
      <c r="L91" s="168">
        <v>2.4715327584083844</v>
      </c>
    </row>
    <row r="93" spans="2:14" x14ac:dyDescent="0.15">
      <c r="B93" s="144" t="s">
        <v>721</v>
      </c>
      <c r="C93" s="124" t="s">
        <v>194</v>
      </c>
      <c r="G93" s="10"/>
      <c r="H93" s="233">
        <f>Model!H228</f>
        <v>0.60975609756097549</v>
      </c>
      <c r="I93" s="233">
        <f>Model!I228</f>
        <v>0.52795031055900632</v>
      </c>
      <c r="J93" s="233">
        <f>Model!J228</f>
        <v>0.46296296296296319</v>
      </c>
      <c r="K93" s="233">
        <f>Model!K228</f>
        <v>0.42944785276073605</v>
      </c>
      <c r="L93" s="233">
        <f>Model!L228</f>
        <v>0.39877300613496941</v>
      </c>
    </row>
    <row r="94" spans="2:14" x14ac:dyDescent="0.15">
      <c r="B94" s="112" t="str">
        <f>Inputs!D131</f>
        <v>Base case</v>
      </c>
      <c r="G94" s="9">
        <v>1</v>
      </c>
      <c r="H94" s="233">
        <f t="dataTable" ref="H94:L96" dt2D="0" dtr="0" r1="D5"/>
        <v>0.60975609756097549</v>
      </c>
      <c r="I94" s="233">
        <v>0.52795031055900632</v>
      </c>
      <c r="J94" s="233">
        <v>0.46296296296296319</v>
      </c>
      <c r="K94" s="233">
        <v>0.42944785276073605</v>
      </c>
      <c r="L94" s="233">
        <v>0.39877300613496941</v>
      </c>
    </row>
    <row r="95" spans="2:14" x14ac:dyDescent="0.15">
      <c r="B95" s="112" t="str">
        <f>Inputs!D132</f>
        <v>Upside case</v>
      </c>
      <c r="G95" s="9">
        <v>2</v>
      </c>
      <c r="H95" s="233">
        <v>0.55555555555555547</v>
      </c>
      <c r="I95" s="233">
        <v>0.43352601156069359</v>
      </c>
      <c r="J95" s="233">
        <v>0.37356321839080459</v>
      </c>
      <c r="K95" s="233">
        <v>0.34285714285714308</v>
      </c>
      <c r="L95" s="233">
        <v>0.34285714285714292</v>
      </c>
    </row>
    <row r="96" spans="2:14" x14ac:dyDescent="0.15">
      <c r="B96" s="112" t="str">
        <f>Inputs!D133</f>
        <v>Downside case</v>
      </c>
      <c r="G96" s="9">
        <v>3</v>
      </c>
      <c r="H96" s="233">
        <v>0.68965517241379304</v>
      </c>
      <c r="I96" s="233">
        <v>0.59027777777777779</v>
      </c>
      <c r="J96" s="233">
        <v>0.52447552447552448</v>
      </c>
      <c r="K96" s="233">
        <v>0.48951048951048942</v>
      </c>
      <c r="L96" s="233">
        <v>0.45454545454545459</v>
      </c>
    </row>
    <row r="98" spans="2:14" ht="18" customHeight="1" x14ac:dyDescent="0.15">
      <c r="B98" s="5" t="s">
        <v>591</v>
      </c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2:14" x14ac:dyDescent="0.15">
      <c r="B99" s="17"/>
    </row>
    <row r="101" spans="2:14" x14ac:dyDescent="0.15">
      <c r="B101" s="8" t="s">
        <v>592</v>
      </c>
      <c r="D101" s="121">
        <v>5.0000000000000001E-3</v>
      </c>
    </row>
    <row r="102" spans="2:14" x14ac:dyDescent="0.15">
      <c r="B102" s="8" t="s">
        <v>593</v>
      </c>
      <c r="D102" s="121">
        <v>5.0000000000000001E-3</v>
      </c>
    </row>
    <row r="103" spans="2:14" x14ac:dyDescent="0.15">
      <c r="B103" s="8" t="s">
        <v>594</v>
      </c>
      <c r="D103" s="174">
        <v>1</v>
      </c>
    </row>
    <row r="105" spans="2:14" x14ac:dyDescent="0.15">
      <c r="B105" s="151" t="s">
        <v>595</v>
      </c>
    </row>
    <row r="106" spans="2:14" x14ac:dyDescent="0.15">
      <c r="B106" s="144" t="s">
        <v>179</v>
      </c>
      <c r="C106" s="124" t="s">
        <v>8</v>
      </c>
      <c r="E106" s="17" t="s">
        <v>596</v>
      </c>
    </row>
    <row r="107" spans="2:14" x14ac:dyDescent="0.15">
      <c r="D107" s="187">
        <f>Model!D291</f>
        <v>15717.161184049759</v>
      </c>
      <c r="E107" s="175">
        <f>F107-$D$102</f>
        <v>9.9999999999999985E-3</v>
      </c>
      <c r="F107" s="175">
        <f>G107-$D$102</f>
        <v>1.4999999999999999E-2</v>
      </c>
      <c r="G107" s="176">
        <v>0.02</v>
      </c>
      <c r="H107" s="175">
        <f>G107+$D$102</f>
        <v>2.5000000000000001E-2</v>
      </c>
      <c r="I107" s="175">
        <f>H107+$D$102</f>
        <v>3.0000000000000002E-2</v>
      </c>
      <c r="N107" s="122"/>
    </row>
    <row r="108" spans="2:14" x14ac:dyDescent="0.15">
      <c r="B108" s="8"/>
      <c r="C108" s="222" t="s">
        <v>597</v>
      </c>
      <c r="D108" s="178">
        <f>D109-$D$101</f>
        <v>5.5735341599246785E-2</v>
      </c>
      <c r="E108" s="185">
        <f t="dataTable" ref="E108:I112" dt2D="1" dtr="1" r1="D9" r2="D8" ca="1"/>
        <v>16141.839435120024</v>
      </c>
      <c r="F108" s="185">
        <v>17871.230835342401</v>
      </c>
      <c r="G108" s="185">
        <v>20084.566511127221</v>
      </c>
      <c r="H108" s="185">
        <v>23018.029428263104</v>
      </c>
      <c r="I108" s="185">
        <v>27091.35011873499</v>
      </c>
      <c r="N108" s="122"/>
    </row>
    <row r="109" spans="2:14" x14ac:dyDescent="0.15">
      <c r="D109" s="178">
        <f>D110-$D$101</f>
        <v>6.0735341599246782E-2</v>
      </c>
      <c r="E109" s="185">
        <v>14558.573041158221</v>
      </c>
      <c r="F109" s="185">
        <v>15927.520843093795</v>
      </c>
      <c r="G109" s="185">
        <v>17632.527641515335</v>
      </c>
      <c r="H109" s="185">
        <v>19814.655049987923</v>
      </c>
      <c r="I109" s="185">
        <v>22706.75582948239</v>
      </c>
    </row>
    <row r="110" spans="2:14" x14ac:dyDescent="0.15">
      <c r="D110" s="178">
        <f>Inputs!$D$123</f>
        <v>6.573534159924678E-2</v>
      </c>
      <c r="E110" s="185">
        <v>13259.85865260737</v>
      </c>
      <c r="F110" s="185">
        <v>14367.425559083858</v>
      </c>
      <c r="G110" s="188">
        <v>15717.161184049759</v>
      </c>
      <c r="H110" s="185">
        <v>17398.239464306127</v>
      </c>
      <c r="I110" s="185">
        <v>19549.742317275079</v>
      </c>
    </row>
    <row r="111" spans="2:14" x14ac:dyDescent="0.15">
      <c r="D111" s="178">
        <f>D110+$D$101</f>
        <v>7.0735341599246784E-2</v>
      </c>
      <c r="E111" s="185">
        <v>12175.409406671042</v>
      </c>
      <c r="F111" s="185">
        <v>13087.692515208571</v>
      </c>
      <c r="G111" s="185">
        <v>14179.787778307626</v>
      </c>
      <c r="H111" s="185">
        <v>15510.668896045841</v>
      </c>
      <c r="I111" s="185">
        <v>17168.264131179076</v>
      </c>
    </row>
    <row r="112" spans="2:14" x14ac:dyDescent="0.15">
      <c r="D112" s="178">
        <f>D111+$D$101</f>
        <v>7.5735341599246789E-2</v>
      </c>
      <c r="E112" s="185">
        <v>11256.323489975681</v>
      </c>
      <c r="F112" s="185">
        <v>12019.070286481847</v>
      </c>
      <c r="G112" s="185">
        <v>12918.668634377174</v>
      </c>
      <c r="H112" s="185">
        <v>13995.578954467574</v>
      </c>
      <c r="I112" s="185">
        <v>15307.95495217918</v>
      </c>
    </row>
    <row r="114" spans="2:14" x14ac:dyDescent="0.15">
      <c r="B114" s="144" t="s">
        <v>186</v>
      </c>
      <c r="C114" s="124" t="s">
        <v>50</v>
      </c>
      <c r="E114" s="17" t="s">
        <v>596</v>
      </c>
    </row>
    <row r="115" spans="2:14" x14ac:dyDescent="0.15">
      <c r="D115" s="187"/>
      <c r="E115" s="175">
        <f>E$107</f>
        <v>9.9999999999999985E-3</v>
      </c>
      <c r="F115" s="175">
        <f>F$107</f>
        <v>1.4999999999999999E-2</v>
      </c>
      <c r="G115" s="175">
        <f>G$107</f>
        <v>0.02</v>
      </c>
      <c r="H115" s="175">
        <f>H$107</f>
        <v>2.5000000000000001E-2</v>
      </c>
      <c r="I115" s="175">
        <f>I$107</f>
        <v>3.0000000000000002E-2</v>
      </c>
    </row>
    <row r="116" spans="2:14" x14ac:dyDescent="0.15">
      <c r="C116" s="222" t="s">
        <v>597</v>
      </c>
      <c r="D116" s="178">
        <f>$D108</f>
        <v>5.5735341599246785E-2</v>
      </c>
      <c r="E116" s="131">
        <f>(E108+SUM(Model!$D$292:$D$295))/SharesOut</f>
        <v>435.61374187759395</v>
      </c>
      <c r="F116" s="131">
        <f>(F108+SUM(Model!$D$292:$D$295))/SharesOut</f>
        <v>516.67745268478359</v>
      </c>
      <c r="G116" s="131">
        <f>(G108+SUM(Model!$D$292:$D$295))/SharesOut</f>
        <v>620.42562855635617</v>
      </c>
      <c r="H116" s="131">
        <f>(H108+SUM(Model!$D$292:$D$295))/SharesOut</f>
        <v>757.92913964571426</v>
      </c>
      <c r="I116" s="131">
        <f>(I108+SUM(Model!$D$292:$D$295))/SharesOut</f>
        <v>948.86248789463934</v>
      </c>
      <c r="N116" s="122"/>
    </row>
    <row r="117" spans="2:14" x14ac:dyDescent="0.15">
      <c r="D117" s="178">
        <f>$D109</f>
        <v>6.0735341599246782E-2</v>
      </c>
      <c r="E117" s="131">
        <f>(E109+SUM(Model!$D$292:$D$295))/SharesOut</f>
        <v>361.39951306024346</v>
      </c>
      <c r="F117" s="131">
        <f>(F109+SUM(Model!$D$292:$D$295))/SharesOut</f>
        <v>425.5677451400224</v>
      </c>
      <c r="G117" s="131">
        <f>(G109+SUM(Model!$D$292:$D$295))/SharesOut</f>
        <v>505.48844904416086</v>
      </c>
      <c r="H117" s="131">
        <f>(H109+SUM(Model!$D$292:$D$295))/SharesOut</f>
        <v>607.77376465410214</v>
      </c>
      <c r="I117" s="131">
        <f>(I109+SUM(Model!$D$292:$D$295))/SharesOut</f>
        <v>743.33846168222476</v>
      </c>
    </row>
    <row r="118" spans="2:14" x14ac:dyDescent="0.15">
      <c r="D118" s="178">
        <f>$D110</f>
        <v>6.573534159924678E-2</v>
      </c>
      <c r="E118" s="131">
        <f>(E110+SUM(Model!$D$292:$D$295))/SharesOut</f>
        <v>300.52341086551485</v>
      </c>
      <c r="F118" s="131">
        <f>(F110+SUM(Model!$D$292:$D$295))/SharesOut</f>
        <v>352.43964185560691</v>
      </c>
      <c r="G118" s="179">
        <f>(G110+SUM(Model!$D$292:$D$295))/SharesOut</f>
        <v>415.70731992682198</v>
      </c>
      <c r="H118" s="131">
        <f>(H110+SUM(Model!$D$292:$D$295))/SharesOut</f>
        <v>494.50639544982204</v>
      </c>
      <c r="I118" s="131">
        <f>(I110+SUM(Model!$D$292:$D$295))/SharesOut</f>
        <v>595.35621177913413</v>
      </c>
    </row>
    <row r="119" spans="2:14" x14ac:dyDescent="0.15">
      <c r="D119" s="178">
        <f>$D111</f>
        <v>7.0735341599246784E-2</v>
      </c>
      <c r="E119" s="131">
        <f>(E111+SUM(Model!$D$292:$D$295))/SharesOut</f>
        <v>249.6908000138861</v>
      </c>
      <c r="F119" s="131">
        <f>(F111+SUM(Model!$D$292:$D$295))/SharesOut</f>
        <v>292.45327360734848</v>
      </c>
      <c r="G119" s="131">
        <f>(G111+SUM(Model!$D$292:$D$295))/SharesOut</f>
        <v>343.64428483267301</v>
      </c>
      <c r="H119" s="131">
        <f>(H111+SUM(Model!$D$292:$D$295))/SharesOut</f>
        <v>406.0281743519613</v>
      </c>
      <c r="I119" s="131">
        <f>(I111+SUM(Model!$D$292:$D$295))/SharesOut</f>
        <v>483.72650265343066</v>
      </c>
    </row>
    <row r="120" spans="2:14" x14ac:dyDescent="0.15">
      <c r="D120" s="178">
        <f>$D112</f>
        <v>7.5735341599246789E-2</v>
      </c>
      <c r="E120" s="131">
        <f>(E112+SUM(Model!$D$292:$D$295))/SharesOut</f>
        <v>206.6094507320675</v>
      </c>
      <c r="F120" s="131">
        <f>(F112+SUM(Model!$D$292:$D$295))/SharesOut</f>
        <v>242.36254035835773</v>
      </c>
      <c r="G120" s="131">
        <f>(G112+SUM(Model!$D$292:$D$295))/SharesOut</f>
        <v>284.5304268801915</v>
      </c>
      <c r="H120" s="131">
        <f>(H112+SUM(Model!$D$292:$D$295))/SharesOut</f>
        <v>335.00965717002686</v>
      </c>
      <c r="I120" s="131">
        <f>(I112+SUM(Model!$D$292:$D$295))/SharesOut</f>
        <v>396.52613535715716</v>
      </c>
    </row>
    <row r="122" spans="2:14" x14ac:dyDescent="0.15">
      <c r="B122" s="144" t="s">
        <v>567</v>
      </c>
      <c r="C122" s="124" t="s">
        <v>194</v>
      </c>
      <c r="E122" s="17" t="s">
        <v>596</v>
      </c>
    </row>
    <row r="123" spans="2:14" x14ac:dyDescent="0.15">
      <c r="D123" s="187"/>
      <c r="E123" s="175">
        <f>E$107</f>
        <v>9.9999999999999985E-3</v>
      </c>
      <c r="F123" s="175">
        <f>F$107</f>
        <v>1.4999999999999999E-2</v>
      </c>
      <c r="G123" s="175">
        <f>G$107</f>
        <v>0.02</v>
      </c>
      <c r="H123" s="175">
        <f>H$107</f>
        <v>2.5000000000000001E-2</v>
      </c>
      <c r="I123" s="175">
        <f>I$107</f>
        <v>3.0000000000000002E-2</v>
      </c>
    </row>
    <row r="124" spans="2:14" x14ac:dyDescent="0.15">
      <c r="C124" s="222" t="s">
        <v>597</v>
      </c>
      <c r="D124" s="178">
        <f>$D108</f>
        <v>5.5735341599246785E-2</v>
      </c>
      <c r="E124" s="181">
        <f>E116/Inputs!$D$113-1</f>
        <v>-0.1164021462929129</v>
      </c>
      <c r="F124" s="181">
        <f>F116/Inputs!$D$113-1</f>
        <v>4.8027287393070051E-2</v>
      </c>
      <c r="G124" s="181">
        <f>G116/Inputs!$D$113-1</f>
        <v>0.25846983479991104</v>
      </c>
      <c r="H124" s="181">
        <f>H116/Inputs!$D$113-1</f>
        <v>0.5373816219994203</v>
      </c>
      <c r="I124" s="181">
        <f>I116/Inputs!$D$113-1</f>
        <v>0.92467036084105336</v>
      </c>
      <c r="N124" s="122"/>
    </row>
    <row r="125" spans="2:14" x14ac:dyDescent="0.15">
      <c r="D125" s="178">
        <f>$D109</f>
        <v>6.0735341599246782E-2</v>
      </c>
      <c r="E125" s="181">
        <f>E117/Inputs!$D$113-1</f>
        <v>-0.26693810738287327</v>
      </c>
      <c r="F125" s="181">
        <f>F117/Inputs!$D$113-1</f>
        <v>-0.13677942162267265</v>
      </c>
      <c r="G125" s="181">
        <f>G117/Inputs!$D$113-1</f>
        <v>2.5331539643328238E-2</v>
      </c>
      <c r="H125" s="181">
        <f>H117/Inputs!$D$113-1</f>
        <v>0.23280682485619097</v>
      </c>
      <c r="I125" s="181">
        <f>I117/Inputs!$D$113-1</f>
        <v>0.50778592633311304</v>
      </c>
    </row>
    <row r="126" spans="2:14" x14ac:dyDescent="0.15">
      <c r="D126" s="178">
        <f>$D110</f>
        <v>6.573534159924678E-2</v>
      </c>
      <c r="E126" s="181">
        <f>E118/Inputs!$D$113-1</f>
        <v>-0.39041904489753576</v>
      </c>
      <c r="F126" s="181">
        <f>F118/Inputs!$D$113-1</f>
        <v>-0.28511228832534097</v>
      </c>
      <c r="G126" s="180">
        <f>G118/Inputs!$D$113-1</f>
        <v>-0.15678028412409339</v>
      </c>
      <c r="H126" s="181">
        <f>H118/Inputs!$D$113-1</f>
        <v>3.0555688637363687E-3</v>
      </c>
      <c r="I126" s="181">
        <f>I118/Inputs!$D$113-1</f>
        <v>0.20761909082988672</v>
      </c>
    </row>
    <row r="127" spans="2:14" x14ac:dyDescent="0.15">
      <c r="D127" s="178">
        <f>$D111</f>
        <v>7.0735341599246784E-2</v>
      </c>
      <c r="E127" s="181">
        <f>E119/Inputs!$D$113-1</f>
        <v>-0.4935277890184866</v>
      </c>
      <c r="F127" s="181">
        <f>F119/Inputs!$D$113-1</f>
        <v>-0.40678849166866438</v>
      </c>
      <c r="G127" s="181">
        <f>G119/Inputs!$D$113-1</f>
        <v>-0.30295276910208313</v>
      </c>
      <c r="H127" s="181">
        <f>H119/Inputs!$D$113-1</f>
        <v>-0.17641343944835441</v>
      </c>
      <c r="I127" s="181">
        <f>I119/Inputs!$D$113-1</f>
        <v>-1.8810339445373914E-2</v>
      </c>
    </row>
    <row r="128" spans="2:14" x14ac:dyDescent="0.15">
      <c r="D128" s="178">
        <f>$D112</f>
        <v>7.5735341599246789E-2</v>
      </c>
      <c r="E128" s="181">
        <f>E120/Inputs!$D$113-1</f>
        <v>-0.58091389303840257</v>
      </c>
      <c r="F128" s="181">
        <f>F120/Inputs!$D$113-1</f>
        <v>-0.50839241306621141</v>
      </c>
      <c r="G128" s="181">
        <f>G120/Inputs!$D$113-1</f>
        <v>-0.42285917468520995</v>
      </c>
      <c r="H128" s="181">
        <f>H120/Inputs!$D$113-1</f>
        <v>-0.32046722683564532</v>
      </c>
      <c r="I128" s="181">
        <f>I120/Inputs!$D$113-1</f>
        <v>-0.19568735221671973</v>
      </c>
    </row>
    <row r="130" spans="2:14" x14ac:dyDescent="0.15">
      <c r="B130" s="151" t="s">
        <v>598</v>
      </c>
    </row>
    <row r="131" spans="2:14" x14ac:dyDescent="0.15">
      <c r="B131" s="144" t="s">
        <v>179</v>
      </c>
      <c r="C131" s="124" t="s">
        <v>8</v>
      </c>
      <c r="E131" s="17" t="s">
        <v>599</v>
      </c>
    </row>
    <row r="132" spans="2:14" x14ac:dyDescent="0.15">
      <c r="D132" s="187">
        <f>Model!D330</f>
        <v>17768.853129979903</v>
      </c>
      <c r="E132" s="177">
        <f>F132-$D$103</f>
        <v>7.289673157035331</v>
      </c>
      <c r="F132" s="177">
        <f>G132-$D$103</f>
        <v>8.289673157035331</v>
      </c>
      <c r="G132" s="177">
        <f>Comps!$G$30</f>
        <v>9.289673157035331</v>
      </c>
      <c r="H132" s="177">
        <f>G132+$D$103</f>
        <v>10.289673157035331</v>
      </c>
      <c r="I132" s="177">
        <f>H132+$D$103</f>
        <v>11.289673157035331</v>
      </c>
      <c r="N132" s="122"/>
    </row>
    <row r="133" spans="2:14" x14ac:dyDescent="0.15">
      <c r="B133" s="8"/>
      <c r="C133" s="222" t="s">
        <v>597</v>
      </c>
      <c r="D133" s="178">
        <f>D134-$D$101</f>
        <v>5.5735341599246785E-2</v>
      </c>
      <c r="E133" s="185">
        <f t="dataTable" ref="E133:I137" dt2D="1" dtr="1" r1="D10" r2="D8"/>
        <v>15075.075318945459</v>
      </c>
      <c r="F133" s="185">
        <v>16777.80434916887</v>
      </c>
      <c r="G133" s="185">
        <v>18480.53337939228</v>
      </c>
      <c r="H133" s="185">
        <v>20183.262409615694</v>
      </c>
      <c r="I133" s="185">
        <v>21885.991439839105</v>
      </c>
      <c r="N133" s="122"/>
    </row>
    <row r="134" spans="2:14" x14ac:dyDescent="0.15">
      <c r="D134" s="178">
        <f>D135-$D$101</f>
        <v>6.0735341599246782E-2</v>
      </c>
      <c r="E134" s="185">
        <v>14786.460275114217</v>
      </c>
      <c r="F134" s="185">
        <v>16453.314351171237</v>
      </c>
      <c r="G134" s="185">
        <v>18120.168427228258</v>
      </c>
      <c r="H134" s="185">
        <v>19787.022503285276</v>
      </c>
      <c r="I134" s="185">
        <v>21453.876579342297</v>
      </c>
    </row>
    <row r="135" spans="2:14" x14ac:dyDescent="0.15">
      <c r="D135" s="178">
        <f>Inputs!$D$123</f>
        <v>6.573534159924678E-2</v>
      </c>
      <c r="E135" s="185">
        <v>14505.056363407366</v>
      </c>
      <c r="F135" s="185">
        <v>16136.954746693635</v>
      </c>
      <c r="G135" s="188">
        <v>17768.853129979903</v>
      </c>
      <c r="H135" s="185">
        <v>19400.751513266172</v>
      </c>
      <c r="I135" s="185">
        <v>21032.649896552444</v>
      </c>
    </row>
    <row r="136" spans="2:14" x14ac:dyDescent="0.15">
      <c r="D136" s="178">
        <f>D135+$D$101</f>
        <v>7.0735341599246784E-2</v>
      </c>
      <c r="E136" s="185">
        <v>14230.649086871095</v>
      </c>
      <c r="F136" s="185">
        <v>15828.483335234705</v>
      </c>
      <c r="G136" s="185">
        <v>17426.317583598317</v>
      </c>
      <c r="H136" s="185">
        <v>19024.151831961928</v>
      </c>
      <c r="I136" s="185">
        <v>20621.98608032554</v>
      </c>
    </row>
    <row r="137" spans="2:14" x14ac:dyDescent="0.15">
      <c r="D137" s="178">
        <f>D136+$D$101</f>
        <v>7.5735341599246789E-2</v>
      </c>
      <c r="E137" s="185">
        <v>13963.031311160188</v>
      </c>
      <c r="F137" s="185">
        <v>15527.666237660107</v>
      </c>
      <c r="G137" s="185">
        <v>17092.301164160024</v>
      </c>
      <c r="H137" s="185">
        <v>18656.936090659947</v>
      </c>
      <c r="I137" s="185">
        <v>20221.571017159866</v>
      </c>
    </row>
    <row r="139" spans="2:14" x14ac:dyDescent="0.15">
      <c r="B139" s="144" t="s">
        <v>186</v>
      </c>
      <c r="C139" s="124" t="s">
        <v>50</v>
      </c>
      <c r="E139" s="17" t="s">
        <v>599</v>
      </c>
    </row>
    <row r="140" spans="2:14" x14ac:dyDescent="0.15">
      <c r="D140" s="187"/>
      <c r="E140" s="177">
        <f>E$132</f>
        <v>7.289673157035331</v>
      </c>
      <c r="F140" s="177">
        <f>F$132</f>
        <v>8.289673157035331</v>
      </c>
      <c r="G140" s="177">
        <f>G$132</f>
        <v>9.289673157035331</v>
      </c>
      <c r="H140" s="177">
        <f>H$132</f>
        <v>10.289673157035331</v>
      </c>
      <c r="I140" s="177">
        <f>I$132</f>
        <v>11.289673157035331</v>
      </c>
    </row>
    <row r="141" spans="2:14" x14ac:dyDescent="0.15">
      <c r="C141" s="222" t="s">
        <v>597</v>
      </c>
      <c r="D141" s="178">
        <f>$D133</f>
        <v>5.5735341599246785E-2</v>
      </c>
      <c r="E141" s="189">
        <f>(E133+SUM(Model!$D$331:$D$334))/SharesOut</f>
        <v>385.6101060309357</v>
      </c>
      <c r="F141" s="189">
        <f>(F133+SUM(Model!$D$331:$D$334))/SharesOut</f>
        <v>465.42404154101644</v>
      </c>
      <c r="G141" s="189">
        <f>(G133+SUM(Model!$D$331:$D$334))/SharesOut</f>
        <v>545.23797705109723</v>
      </c>
      <c r="H141" s="189">
        <f>(H133+SUM(Model!$D$331:$D$334))/SharesOut</f>
        <v>625.05191256117814</v>
      </c>
      <c r="I141" s="189">
        <f>(I133+SUM(Model!$D$331:$D$334))/SharesOut</f>
        <v>704.86584807125882</v>
      </c>
      <c r="N141" s="122"/>
    </row>
    <row r="142" spans="2:14" x14ac:dyDescent="0.15">
      <c r="D142" s="178">
        <f>$D134</f>
        <v>6.0735341599246782E-2</v>
      </c>
      <c r="E142" s="189">
        <f>(E134+SUM(Model!$D$331:$D$334))/SharesOut</f>
        <v>372.0815280324955</v>
      </c>
      <c r="F142" s="189">
        <f>(F134+SUM(Model!$D$331:$D$334))/SharesOut</f>
        <v>450.21385641223458</v>
      </c>
      <c r="G142" s="189">
        <f>(G134+SUM(Model!$D$331:$D$334))/SharesOut</f>
        <v>528.34618479197377</v>
      </c>
      <c r="H142" s="189">
        <f>(H134+SUM(Model!$D$331:$D$334))/SharesOut</f>
        <v>606.47851317171273</v>
      </c>
      <c r="I142" s="189">
        <f>(I134+SUM(Model!$D$331:$D$334))/SharesOut</f>
        <v>684.61084155145193</v>
      </c>
    </row>
    <row r="143" spans="2:14" x14ac:dyDescent="0.15">
      <c r="D143" s="178">
        <f>$D135</f>
        <v>6.573534159924678E-2</v>
      </c>
      <c r="E143" s="189">
        <f>(E135+SUM(Model!$D$331:$D$334))/SharesOut</f>
        <v>358.89096555156556</v>
      </c>
      <c r="F143" s="189">
        <f>(F135+SUM(Model!$D$331:$D$334))/SharesOut</f>
        <v>435.384776375667</v>
      </c>
      <c r="G143" s="179">
        <f>(G135+SUM(Model!$D$331:$D$334))/SharesOut</f>
        <v>511.87858719976845</v>
      </c>
      <c r="H143" s="189">
        <f>(H135+SUM(Model!$D$331:$D$334))/SharesOut</f>
        <v>588.37239802386989</v>
      </c>
      <c r="I143" s="189">
        <f>(I135+SUM(Model!$D$331:$D$334))/SharesOut</f>
        <v>664.86620884797151</v>
      </c>
    </row>
    <row r="144" spans="2:14" x14ac:dyDescent="0.15">
      <c r="D144" s="178">
        <f>$D136</f>
        <v>7.0735341599246784E-2</v>
      </c>
      <c r="E144" s="189">
        <f>(E136+SUM(Model!$D$331:$D$334))/SharesOut</f>
        <v>346.02836423085563</v>
      </c>
      <c r="F144" s="189">
        <f>(F136+SUM(Model!$D$331:$D$334))/SharesOut</f>
        <v>420.92544849443846</v>
      </c>
      <c r="G144" s="189">
        <f>(G136+SUM(Model!$D$331:$D$334))/SharesOut</f>
        <v>495.8225327580214</v>
      </c>
      <c r="H144" s="189">
        <f>(H136+SUM(Model!$D$331:$D$334))/SharesOut</f>
        <v>570.71961702160434</v>
      </c>
      <c r="I144" s="189">
        <f>(I136+SUM(Model!$D$331:$D$334))/SharesOut</f>
        <v>645.61670128518733</v>
      </c>
    </row>
    <row r="145" spans="2:14" x14ac:dyDescent="0.15">
      <c r="D145" s="178">
        <f>$D137</f>
        <v>7.5735341599246789E-2</v>
      </c>
      <c r="E145" s="189">
        <f>(E137+SUM(Model!$D$331:$D$334))/SharesOut</f>
        <v>333.4840148289199</v>
      </c>
      <c r="F145" s="189">
        <f>(F137+SUM(Model!$D$331:$D$334))/SharesOut</f>
        <v>406.82490988848167</v>
      </c>
      <c r="G145" s="189">
        <f>(G137+SUM(Model!$D$331:$D$334))/SharesOut</f>
        <v>480.16580494804327</v>
      </c>
      <c r="H145" s="189">
        <f>(H137+SUM(Model!$D$331:$D$334))/SharesOut</f>
        <v>553.50670000760522</v>
      </c>
      <c r="I145" s="189">
        <f>(I137+SUM(Model!$D$331:$D$334))/SharesOut</f>
        <v>626.84759506716694</v>
      </c>
    </row>
    <row r="147" spans="2:14" x14ac:dyDescent="0.15">
      <c r="B147" s="144" t="s">
        <v>567</v>
      </c>
      <c r="C147" s="124" t="s">
        <v>194</v>
      </c>
      <c r="E147" s="17" t="s">
        <v>599</v>
      </c>
    </row>
    <row r="148" spans="2:14" x14ac:dyDescent="0.15">
      <c r="D148" s="187"/>
      <c r="E148" s="177">
        <f>E$132</f>
        <v>7.289673157035331</v>
      </c>
      <c r="F148" s="177">
        <f>F$132</f>
        <v>8.289673157035331</v>
      </c>
      <c r="G148" s="177">
        <f>G$132</f>
        <v>9.289673157035331</v>
      </c>
      <c r="H148" s="177">
        <f>H$132</f>
        <v>10.289673157035331</v>
      </c>
      <c r="I148" s="177">
        <f>I$132</f>
        <v>11.289673157035331</v>
      </c>
    </row>
    <row r="149" spans="2:14" x14ac:dyDescent="0.15">
      <c r="C149" s="222" t="s">
        <v>597</v>
      </c>
      <c r="D149" s="178">
        <f>$D133</f>
        <v>5.5735341599246785E-2</v>
      </c>
      <c r="E149" s="181">
        <f>E141/Inputs!$D$113-1</f>
        <v>-0.21782939953157054</v>
      </c>
      <c r="F149" s="181">
        <f>F141/Inputs!$D$113-1</f>
        <v>-5.5935007016193805E-2</v>
      </c>
      <c r="G149" s="181">
        <f>G141/Inputs!$D$113-1</f>
        <v>0.10595938549918293</v>
      </c>
      <c r="H149" s="181">
        <f>H141/Inputs!$D$113-1</f>
        <v>0.26785377801456023</v>
      </c>
      <c r="I149" s="181">
        <f>I141/Inputs!$D$113-1</f>
        <v>0.42974817052993686</v>
      </c>
      <c r="N149" s="122"/>
    </row>
    <row r="150" spans="2:14" x14ac:dyDescent="0.15">
      <c r="D150" s="178">
        <f>$D134</f>
        <v>6.0735341599246782E-2</v>
      </c>
      <c r="E150" s="181">
        <f>E142/Inputs!$D$113-1</f>
        <v>-0.24527073421400503</v>
      </c>
      <c r="F150" s="181">
        <f>F142/Inputs!$D$113-1</f>
        <v>-8.6787309508651989E-2</v>
      </c>
      <c r="G150" s="181">
        <f>G142/Inputs!$D$113-1</f>
        <v>7.1696115196701271E-2</v>
      </c>
      <c r="H150" s="181">
        <f>H142/Inputs!$D$113-1</f>
        <v>0.23017953990205431</v>
      </c>
      <c r="I150" s="181">
        <f>I142/Inputs!$D$113-1</f>
        <v>0.38866296460740757</v>
      </c>
    </row>
    <row r="151" spans="2:14" x14ac:dyDescent="0.15">
      <c r="D151" s="178">
        <f>$D135</f>
        <v>6.573534159924678E-2</v>
      </c>
      <c r="E151" s="181">
        <f>E143/Inputs!$D$113-1</f>
        <v>-0.27202643904347756</v>
      </c>
      <c r="F151" s="181">
        <f>F143/Inputs!$D$113-1</f>
        <v>-0.11686657935970179</v>
      </c>
      <c r="G151" s="180">
        <f>G143/Inputs!$D$113-1</f>
        <v>3.8293280324073864E-2</v>
      </c>
      <c r="H151" s="181">
        <f>H143/Inputs!$D$113-1</f>
        <v>0.19345314000784963</v>
      </c>
      <c r="I151" s="181">
        <f>I143/Inputs!$D$113-1</f>
        <v>0.34861299969162585</v>
      </c>
    </row>
    <row r="152" spans="2:14" x14ac:dyDescent="0.15">
      <c r="D152" s="178">
        <f>$D136</f>
        <v>7.0735341599246784E-2</v>
      </c>
      <c r="E152" s="181">
        <f>E144/Inputs!$D$113-1</f>
        <v>-0.29811690825384252</v>
      </c>
      <c r="F152" s="181">
        <f>F144/Inputs!$D$113-1</f>
        <v>-0.14619584483886727</v>
      </c>
      <c r="G152" s="181">
        <f>G144/Inputs!$D$113-1</f>
        <v>5.7252185761083041E-3</v>
      </c>
      <c r="H152" s="181">
        <f>H144/Inputs!$D$113-1</f>
        <v>0.15764628199108377</v>
      </c>
      <c r="I152" s="181">
        <f>I144/Inputs!$D$113-1</f>
        <v>0.30956734540605946</v>
      </c>
    </row>
    <row r="153" spans="2:14" x14ac:dyDescent="0.15">
      <c r="D153" s="178">
        <f>$D137</f>
        <v>7.5735341599246789E-2</v>
      </c>
      <c r="E153" s="181">
        <f>E145/Inputs!$D$113-1</f>
        <v>-0.32356183604681565</v>
      </c>
      <c r="F153" s="181">
        <f>F145/Inputs!$D$113-1</f>
        <v>-0.17479734302539218</v>
      </c>
      <c r="G153" s="181">
        <f>G145/Inputs!$D$113-1</f>
        <v>-2.6032850003969044E-2</v>
      </c>
      <c r="H153" s="181">
        <f>H145/Inputs!$D$113-1</f>
        <v>0.12273164301745476</v>
      </c>
      <c r="I153" s="181">
        <f>I145/Inputs!$D$113-1</f>
        <v>0.27149613603887812</v>
      </c>
    </row>
  </sheetData>
  <conditionalFormatting sqref="B56:L56">
    <cfRule type="expression" dxfId="53" priority="1">
      <formula>Scenario=1</formula>
    </cfRule>
  </conditionalFormatting>
  <conditionalFormatting sqref="B57:L57">
    <cfRule type="expression" dxfId="52" priority="2">
      <formula>Scenario=2</formula>
    </cfRule>
  </conditionalFormatting>
  <conditionalFormatting sqref="B58:L58">
    <cfRule type="expression" dxfId="51" priority="3">
      <formula>Scenario=3</formula>
    </cfRule>
  </conditionalFormatting>
  <conditionalFormatting sqref="B64:L64">
    <cfRule type="expression" dxfId="50" priority="4">
      <formula>Scenario=1</formula>
    </cfRule>
  </conditionalFormatting>
  <conditionalFormatting sqref="B65:L65">
    <cfRule type="expression" dxfId="49" priority="5">
      <formula>Scenario=2</formula>
    </cfRule>
  </conditionalFormatting>
  <conditionalFormatting sqref="B66:L66">
    <cfRule type="expression" dxfId="48" priority="6">
      <formula>Scenario=3</formula>
    </cfRule>
  </conditionalFormatting>
  <conditionalFormatting sqref="B69:L69">
    <cfRule type="expression" dxfId="47" priority="7">
      <formula>Scenario=1</formula>
    </cfRule>
  </conditionalFormatting>
  <conditionalFormatting sqref="B70:L70">
    <cfRule type="expression" dxfId="46" priority="8">
      <formula>Scenario=2</formula>
    </cfRule>
  </conditionalFormatting>
  <conditionalFormatting sqref="B71:L71">
    <cfRule type="expression" dxfId="45" priority="9">
      <formula>Scenario=3</formula>
    </cfRule>
  </conditionalFormatting>
  <conditionalFormatting sqref="B74:L74">
    <cfRule type="expression" dxfId="44" priority="10">
      <formula>Scenario=1</formula>
    </cfRule>
  </conditionalFormatting>
  <conditionalFormatting sqref="B75:L75">
    <cfRule type="expression" dxfId="43" priority="11">
      <formula>Scenario=2</formula>
    </cfRule>
  </conditionalFormatting>
  <conditionalFormatting sqref="B76:L76">
    <cfRule type="expression" dxfId="42" priority="12">
      <formula>Scenario=3</formula>
    </cfRule>
  </conditionalFormatting>
  <conditionalFormatting sqref="B79:L79">
    <cfRule type="expression" dxfId="41" priority="13">
      <formula>Scenario=1</formula>
    </cfRule>
  </conditionalFormatting>
  <conditionalFormatting sqref="B80:L80">
    <cfRule type="expression" dxfId="40" priority="14">
      <formula>Scenario=2</formula>
    </cfRule>
  </conditionalFormatting>
  <conditionalFormatting sqref="B81:L81">
    <cfRule type="expression" dxfId="39" priority="15">
      <formula>Scenario=3</formula>
    </cfRule>
  </conditionalFormatting>
  <conditionalFormatting sqref="B84:L84">
    <cfRule type="expression" dxfId="38" priority="16">
      <formula>Scenario=1</formula>
    </cfRule>
  </conditionalFormatting>
  <conditionalFormatting sqref="B85:L85">
    <cfRule type="expression" dxfId="37" priority="17">
      <formula>Scenario=2</formula>
    </cfRule>
  </conditionalFormatting>
  <conditionalFormatting sqref="B86:L86">
    <cfRule type="expression" dxfId="36" priority="18">
      <formula>Scenario=3</formula>
    </cfRule>
  </conditionalFormatting>
  <conditionalFormatting sqref="B89:L89">
    <cfRule type="expression" dxfId="35" priority="19">
      <formula>Scenario=1</formula>
    </cfRule>
  </conditionalFormatting>
  <conditionalFormatting sqref="B90:L90">
    <cfRule type="expression" dxfId="34" priority="20">
      <formula>Scenario=2</formula>
    </cfRule>
  </conditionalFormatting>
  <conditionalFormatting sqref="B91:L91">
    <cfRule type="expression" dxfId="33" priority="21">
      <formula>Scenario=3</formula>
    </cfRule>
  </conditionalFormatting>
  <conditionalFormatting sqref="B94:L94">
    <cfRule type="expression" dxfId="32" priority="22">
      <formula>Scenario=1</formula>
    </cfRule>
  </conditionalFormatting>
  <conditionalFormatting sqref="B95:L95">
    <cfRule type="expression" dxfId="31" priority="23">
      <formula>Scenario=2</formula>
    </cfRule>
  </conditionalFormatting>
  <conditionalFormatting sqref="B96:L96">
    <cfRule type="expression" dxfId="30" priority="24">
      <formula>Scenario=3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2">
              <controlPr defaultSize="0" autoLine="0" autoPict="0">
                <anchor moveWithCells="1">
                  <from>
                    <xdr:col>1</xdr:col>
                    <xdr:colOff>1206500</xdr:colOff>
                    <xdr:row>4</xdr:row>
                    <xdr:rowOff>12700</xdr:rowOff>
                  </from>
                  <to>
                    <xdr:col>1</xdr:col>
                    <xdr:colOff>2374900</xdr:colOff>
                    <xdr:row>4</xdr:row>
                    <xdr:rowOff>203200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EF4B-F448-1E43-97D8-64B4765D8913}">
  <sheetPr>
    <outlinePr summaryBelow="0"/>
  </sheetPr>
  <dimension ref="A1:N135"/>
  <sheetViews>
    <sheetView showGridLines="0" zoomScale="90" zoomScaleNormal="9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baseColWidth="10" defaultColWidth="8.83203125" defaultRowHeight="13" outlineLevelRow="1" x14ac:dyDescent="0.15"/>
  <cols>
    <col min="1" max="1" width="2" customWidth="1"/>
    <col min="2" max="2" width="50" customWidth="1"/>
    <col min="3" max="3" width="8" customWidth="1"/>
    <col min="4" max="12" width="11" customWidth="1"/>
    <col min="13" max="13" width="2" customWidth="1"/>
    <col min="14" max="14" width="70" customWidth="1"/>
  </cols>
  <sheetData>
    <row r="1" spans="1:14" ht="26" customHeight="1" x14ac:dyDescent="0.15">
      <c r="A1" s="1"/>
      <c r="B1" s="2" t="s">
        <v>233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15">
      <c r="B2" s="17" t="s">
        <v>1</v>
      </c>
      <c r="F2" s="53" t="s">
        <v>2</v>
      </c>
      <c r="G2" s="58" t="str">
        <f>ScenarioName</f>
        <v>Base case</v>
      </c>
      <c r="J2" s="24" t="s">
        <v>3</v>
      </c>
      <c r="L2" s="59" t="str">
        <f>ModelChecks</f>
        <v>OK</v>
      </c>
    </row>
    <row r="4" spans="1:14" x14ac:dyDescent="0.15">
      <c r="B4" s="18" t="s">
        <v>4</v>
      </c>
      <c r="D4" s="60">
        <f>Model!D$4</f>
        <v>2022</v>
      </c>
      <c r="E4" s="25">
        <f>Model!E$4</f>
        <v>2023</v>
      </c>
      <c r="F4" s="25">
        <f>Model!F$4</f>
        <v>2024</v>
      </c>
      <c r="G4" s="25">
        <f>Model!G$4</f>
        <v>2025</v>
      </c>
      <c r="H4" s="26">
        <f>Model!H$4</f>
        <v>2026</v>
      </c>
      <c r="I4" s="26">
        <f>Model!I$4</f>
        <v>2027</v>
      </c>
      <c r="J4" s="26">
        <f>Model!J$4</f>
        <v>2028</v>
      </c>
      <c r="K4" s="26">
        <f>Model!K$4</f>
        <v>2029</v>
      </c>
      <c r="L4" s="26">
        <f>Model!L$4</f>
        <v>2030</v>
      </c>
    </row>
    <row r="5" spans="1:14" x14ac:dyDescent="0.15">
      <c r="B5" s="4" t="s">
        <v>5</v>
      </c>
      <c r="D5" s="27">
        <f>Model!D$5</f>
        <v>44926</v>
      </c>
      <c r="E5" s="27">
        <f>Model!E$5</f>
        <v>45291</v>
      </c>
      <c r="F5" s="27">
        <f>Model!F$5</f>
        <v>45657</v>
      </c>
      <c r="G5" s="27">
        <f>Model!G$5</f>
        <v>46022</v>
      </c>
      <c r="H5" s="27">
        <f>Model!H$5</f>
        <v>46387</v>
      </c>
      <c r="I5" s="27">
        <f>Model!I$5</f>
        <v>46752</v>
      </c>
      <c r="J5" s="27">
        <f>Model!J$5</f>
        <v>47118</v>
      </c>
      <c r="K5" s="27">
        <f>Model!K$5</f>
        <v>47483</v>
      </c>
      <c r="L5" s="27">
        <f>Model!L$5</f>
        <v>47848</v>
      </c>
    </row>
    <row r="6" spans="1:14" x14ac:dyDescent="0.15">
      <c r="B6" s="4" t="s">
        <v>6</v>
      </c>
      <c r="D6" s="28" t="str">
        <f>Model!D$6</f>
        <v>A</v>
      </c>
      <c r="E6" s="28" t="str">
        <f>Model!E$6</f>
        <v>A</v>
      </c>
      <c r="F6" s="28" t="str">
        <f>Model!F$6</f>
        <v>A</v>
      </c>
      <c r="G6" s="28" t="str">
        <f>Model!G$6</f>
        <v>A</v>
      </c>
      <c r="H6" s="28" t="str">
        <f>Model!H$6</f>
        <v>F</v>
      </c>
      <c r="I6" s="28" t="str">
        <f>Model!I$6</f>
        <v>F</v>
      </c>
      <c r="J6" s="28" t="str">
        <f>Model!J$6</f>
        <v>F</v>
      </c>
      <c r="K6" s="28" t="str">
        <f>Model!K$6</f>
        <v>F</v>
      </c>
      <c r="L6" s="28" t="str">
        <f>Model!L$6</f>
        <v>F</v>
      </c>
    </row>
    <row r="8" spans="1:14" ht="18" customHeight="1" x14ac:dyDescent="0.15">
      <c r="B8" s="5" t="s">
        <v>234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1:14" outlineLevel="1" x14ac:dyDescent="0.15">
      <c r="B9" s="8" t="s">
        <v>235</v>
      </c>
      <c r="D9" s="20">
        <v>2022</v>
      </c>
      <c r="N9" s="17"/>
    </row>
    <row r="10" spans="1:14" outlineLevel="1" x14ac:dyDescent="0.15">
      <c r="B10" s="8" t="s">
        <v>236</v>
      </c>
      <c r="D10" s="20">
        <v>2025</v>
      </c>
      <c r="N10" s="17"/>
    </row>
    <row r="11" spans="1:14" outlineLevel="1" x14ac:dyDescent="0.15">
      <c r="B11" s="8" t="s">
        <v>237</v>
      </c>
      <c r="D11" s="21">
        <v>46203</v>
      </c>
      <c r="N11" s="17"/>
    </row>
    <row r="12" spans="1:14" outlineLevel="1" x14ac:dyDescent="0.15">
      <c r="B12" s="8" t="s">
        <v>238</v>
      </c>
      <c r="D12" s="19">
        <v>0.21</v>
      </c>
      <c r="N12" s="17"/>
    </row>
    <row r="13" spans="1:14" outlineLevel="1" x14ac:dyDescent="0.15">
      <c r="B13" s="8" t="s">
        <v>239</v>
      </c>
      <c r="C13" s="17" t="s">
        <v>53</v>
      </c>
      <c r="D13" s="35">
        <v>22.291948000000001</v>
      </c>
      <c r="N13" s="17" t="s">
        <v>657</v>
      </c>
    </row>
    <row r="14" spans="1:14" outlineLevel="1" x14ac:dyDescent="0.15">
      <c r="B14" s="8" t="s">
        <v>240</v>
      </c>
      <c r="C14" s="17" t="s">
        <v>53</v>
      </c>
      <c r="D14" s="35">
        <v>0.95821699999999999</v>
      </c>
      <c r="N14" s="17" t="s">
        <v>658</v>
      </c>
    </row>
    <row r="15" spans="1:14" outlineLevel="1" x14ac:dyDescent="0.15">
      <c r="B15" s="22" t="s">
        <v>241</v>
      </c>
      <c r="C15" s="17" t="s">
        <v>53</v>
      </c>
      <c r="D15" s="190">
        <f>D13-D14</f>
        <v>21.333731</v>
      </c>
    </row>
    <row r="17" spans="1:14" ht="18" customHeight="1" x14ac:dyDescent="0.15">
      <c r="A17" s="37"/>
      <c r="B17" s="38" t="s">
        <v>242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7"/>
      <c r="N17" s="37"/>
    </row>
    <row r="18" spans="1:14" outlineLevel="1" x14ac:dyDescent="0.15">
      <c r="A18" s="37"/>
      <c r="B18" s="40" t="s">
        <v>243</v>
      </c>
      <c r="C18" s="37"/>
      <c r="D18" s="41">
        <f>Model!D$4</f>
        <v>2022</v>
      </c>
      <c r="E18" s="41">
        <f>Model!E$4</f>
        <v>2023</v>
      </c>
      <c r="F18" s="41">
        <f>Model!F$4</f>
        <v>2024</v>
      </c>
      <c r="G18" s="41">
        <f>Model!G$4</f>
        <v>2025</v>
      </c>
      <c r="H18" s="42">
        <f>Model!H$4</f>
        <v>2026</v>
      </c>
      <c r="I18" s="42">
        <f>Model!I$4</f>
        <v>2027</v>
      </c>
      <c r="J18" s="42">
        <f>Model!J$4</f>
        <v>2028</v>
      </c>
      <c r="K18" s="42">
        <f>Model!K$4</f>
        <v>2029</v>
      </c>
      <c r="L18" s="42">
        <f>Model!L$4</f>
        <v>2030</v>
      </c>
      <c r="M18" s="37"/>
      <c r="N18" s="37"/>
    </row>
    <row r="19" spans="1:14" ht="17" customHeight="1" outlineLevel="1" x14ac:dyDescent="0.15">
      <c r="A19" s="37"/>
      <c r="B19" s="221" t="s">
        <v>229</v>
      </c>
      <c r="C19" s="37"/>
      <c r="D19" s="56"/>
      <c r="E19" s="37"/>
      <c r="F19" s="37"/>
      <c r="G19" s="37"/>
      <c r="H19" s="37"/>
      <c r="I19" s="37"/>
      <c r="J19" s="37"/>
      <c r="K19" s="37"/>
      <c r="L19" s="37"/>
      <c r="M19" s="37"/>
      <c r="N19" s="40"/>
    </row>
    <row r="20" spans="1:14" outlineLevel="1" x14ac:dyDescent="0.1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1:14" outlineLevel="1" x14ac:dyDescent="0.15">
      <c r="A21" s="37"/>
      <c r="B21" s="43" t="s">
        <v>244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1:14" outlineLevel="1" x14ac:dyDescent="0.15">
      <c r="A22" s="37"/>
      <c r="B22" s="44" t="s">
        <v>10</v>
      </c>
      <c r="C22" s="37"/>
      <c r="D22" s="37"/>
      <c r="E22" s="57">
        <f>Model!E20</f>
        <v>0.10091836368219975</v>
      </c>
      <c r="F22" s="57">
        <f>Model!F20</f>
        <v>0.11099327332210329</v>
      </c>
      <c r="G22" s="57">
        <f>Model!G20</f>
        <v>-6.7431894962039607E-2</v>
      </c>
      <c r="H22" s="37"/>
      <c r="I22" s="37"/>
      <c r="J22" s="37"/>
      <c r="K22" s="37"/>
      <c r="L22" s="37"/>
      <c r="M22" s="37"/>
      <c r="N22" s="40"/>
    </row>
    <row r="23" spans="1:14" outlineLevel="1" x14ac:dyDescent="0.15">
      <c r="A23" s="37"/>
      <c r="B23" s="45" t="s">
        <v>245</v>
      </c>
      <c r="C23" s="37"/>
      <c r="D23" s="37"/>
      <c r="E23" s="37"/>
      <c r="F23" s="37"/>
      <c r="G23" s="37"/>
      <c r="H23" s="46">
        <v>0.1</v>
      </c>
      <c r="I23" s="46">
        <v>0.04</v>
      </c>
      <c r="J23" s="46">
        <v>3.5000000000000003E-2</v>
      </c>
      <c r="K23" s="46">
        <v>0.03</v>
      </c>
      <c r="L23" s="46">
        <v>0.03</v>
      </c>
      <c r="M23" s="37"/>
      <c r="N23" s="37"/>
    </row>
    <row r="24" spans="1:14" outlineLevel="1" x14ac:dyDescent="0.15">
      <c r="A24" s="37"/>
      <c r="B24" s="45" t="s">
        <v>246</v>
      </c>
      <c r="C24" s="37"/>
      <c r="D24" s="37"/>
      <c r="E24" s="37"/>
      <c r="F24" s="37"/>
      <c r="G24" s="37"/>
      <c r="H24" s="46">
        <v>0.12</v>
      </c>
      <c r="I24" s="46">
        <v>0.05</v>
      </c>
      <c r="J24" s="46">
        <v>4.4999999999999998E-2</v>
      </c>
      <c r="K24" s="46">
        <v>0.04</v>
      </c>
      <c r="L24" s="46">
        <v>3.5000000000000003E-2</v>
      </c>
      <c r="M24" s="37"/>
      <c r="N24" s="37"/>
    </row>
    <row r="25" spans="1:14" outlineLevel="1" x14ac:dyDescent="0.15">
      <c r="A25" s="37"/>
      <c r="B25" s="45" t="s">
        <v>247</v>
      </c>
      <c r="C25" s="37"/>
      <c r="D25" s="37"/>
      <c r="E25" s="37"/>
      <c r="F25" s="37"/>
      <c r="G25" s="37"/>
      <c r="H25" s="46">
        <v>7.0000000000000007E-2</v>
      </c>
      <c r="I25" s="46">
        <v>0.02</v>
      </c>
      <c r="J25" s="46">
        <v>-0.06</v>
      </c>
      <c r="K25" s="46">
        <v>0.04</v>
      </c>
      <c r="L25" s="46">
        <v>0.02</v>
      </c>
      <c r="M25" s="37"/>
      <c r="N25" s="37"/>
    </row>
    <row r="26" spans="1:14" outlineLevel="1" x14ac:dyDescent="0.15">
      <c r="A26" s="37"/>
      <c r="B26" s="47" t="s">
        <v>248</v>
      </c>
      <c r="C26" s="37"/>
      <c r="D26" s="37"/>
      <c r="E26" s="37"/>
      <c r="F26" s="37"/>
      <c r="G26" s="37"/>
      <c r="H26" s="48">
        <f>CHOOSE(Scenario,H23,H24,H25)</f>
        <v>0.1</v>
      </c>
      <c r="I26" s="48">
        <f>CHOOSE(Scenario,I23,I24,I25)</f>
        <v>0.04</v>
      </c>
      <c r="J26" s="48">
        <f>CHOOSE(Scenario,J23,J24,J25)</f>
        <v>3.5000000000000003E-2</v>
      </c>
      <c r="K26" s="48">
        <f>CHOOSE(Scenario,K23,K24,K25)</f>
        <v>0.03</v>
      </c>
      <c r="L26" s="48">
        <f>CHOOSE(Scenario,L23,L24,L25)</f>
        <v>0.03</v>
      </c>
      <c r="M26" s="37"/>
      <c r="N26" s="37"/>
    </row>
    <row r="27" spans="1:14" outlineLevel="1" x14ac:dyDescent="0.1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4" outlineLevel="1" x14ac:dyDescent="0.15">
      <c r="A28" s="37"/>
      <c r="B28" s="44" t="s">
        <v>11</v>
      </c>
      <c r="C28" s="37"/>
      <c r="D28" s="37"/>
      <c r="E28" s="57">
        <f>Model!E21</f>
        <v>7.1744053518860929E-2</v>
      </c>
      <c r="F28" s="57">
        <f>Model!F21</f>
        <v>0.11108382643779224</v>
      </c>
      <c r="G28" s="57">
        <f>Model!G21</f>
        <v>-1.8417012640419395E-2</v>
      </c>
      <c r="H28" s="37"/>
      <c r="I28" s="37"/>
      <c r="J28" s="37"/>
      <c r="K28" s="37"/>
      <c r="L28" s="37"/>
      <c r="M28" s="37"/>
      <c r="N28" s="40"/>
    </row>
    <row r="29" spans="1:14" outlineLevel="1" x14ac:dyDescent="0.15">
      <c r="A29" s="37"/>
      <c r="B29" s="45" t="s">
        <v>245</v>
      </c>
      <c r="C29" s="37"/>
      <c r="D29" s="37"/>
      <c r="E29" s="37"/>
      <c r="F29" s="37"/>
      <c r="G29" s="37"/>
      <c r="H29" s="46">
        <v>0.02</v>
      </c>
      <c r="I29" s="46">
        <v>0.03</v>
      </c>
      <c r="J29" s="46">
        <v>0.03</v>
      </c>
      <c r="K29" s="46">
        <v>0.03</v>
      </c>
      <c r="L29" s="46">
        <v>2.5000000000000001E-2</v>
      </c>
      <c r="M29" s="37"/>
      <c r="N29" s="37"/>
    </row>
    <row r="30" spans="1:14" outlineLevel="1" x14ac:dyDescent="0.15">
      <c r="A30" s="37"/>
      <c r="B30" s="45" t="s">
        <v>246</v>
      </c>
      <c r="C30" s="37"/>
      <c r="D30" s="37"/>
      <c r="E30" s="37"/>
      <c r="F30" s="37"/>
      <c r="G30" s="37"/>
      <c r="H30" s="46">
        <v>3.5000000000000003E-2</v>
      </c>
      <c r="I30" s="46">
        <v>0.04</v>
      </c>
      <c r="J30" s="46">
        <v>0.04</v>
      </c>
      <c r="K30" s="46">
        <v>3.5000000000000003E-2</v>
      </c>
      <c r="L30" s="46">
        <v>0.03</v>
      </c>
      <c r="M30" s="37"/>
      <c r="N30" s="37"/>
    </row>
    <row r="31" spans="1:14" outlineLevel="1" x14ac:dyDescent="0.15">
      <c r="A31" s="37"/>
      <c r="B31" s="45" t="s">
        <v>247</v>
      </c>
      <c r="C31" s="37"/>
      <c r="D31" s="37"/>
      <c r="E31" s="37"/>
      <c r="F31" s="37"/>
      <c r="G31" s="37"/>
      <c r="H31" s="46">
        <v>0</v>
      </c>
      <c r="I31" s="46">
        <v>0.01</v>
      </c>
      <c r="J31" s="46">
        <v>0.01</v>
      </c>
      <c r="K31" s="46">
        <v>1.4999999999999999E-2</v>
      </c>
      <c r="L31" s="46">
        <v>1.4999999999999999E-2</v>
      </c>
      <c r="M31" s="37"/>
      <c r="N31" s="37"/>
    </row>
    <row r="32" spans="1:14" outlineLevel="1" x14ac:dyDescent="0.15">
      <c r="A32" s="37"/>
      <c r="B32" s="47" t="s">
        <v>248</v>
      </c>
      <c r="C32" s="37"/>
      <c r="D32" s="37"/>
      <c r="E32" s="37"/>
      <c r="F32" s="37"/>
      <c r="G32" s="37"/>
      <c r="H32" s="48">
        <f>CHOOSE(Scenario,H29,H30,H31)</f>
        <v>0.02</v>
      </c>
      <c r="I32" s="48">
        <f>CHOOSE(Scenario,I29,I30,I31)</f>
        <v>0.03</v>
      </c>
      <c r="J32" s="48">
        <f>CHOOSE(Scenario,J29,J30,J31)</f>
        <v>0.03</v>
      </c>
      <c r="K32" s="48">
        <f>CHOOSE(Scenario,K29,K30,K31)</f>
        <v>0.03</v>
      </c>
      <c r="L32" s="48">
        <f>CHOOSE(Scenario,L29,L30,L31)</f>
        <v>2.5000000000000001E-2</v>
      </c>
      <c r="M32" s="37"/>
      <c r="N32" s="37"/>
    </row>
    <row r="33" spans="1:14" outlineLevel="1" x14ac:dyDescent="0.1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1:14" outlineLevel="1" x14ac:dyDescent="0.15">
      <c r="A34" s="37"/>
      <c r="B34" s="44" t="s">
        <v>12</v>
      </c>
      <c r="C34" s="37"/>
      <c r="D34" s="37"/>
      <c r="E34" s="57">
        <f>Model!E22</f>
        <v>0.17114710873492323</v>
      </c>
      <c r="F34" s="57">
        <f>Model!F22</f>
        <v>0.19827775927581359</v>
      </c>
      <c r="G34" s="57">
        <f>Model!G22</f>
        <v>0.1546354303379105</v>
      </c>
      <c r="H34" s="37"/>
      <c r="I34" s="37"/>
      <c r="J34" s="37"/>
      <c r="K34" s="37"/>
      <c r="L34" s="37"/>
      <c r="M34" s="37"/>
      <c r="N34" s="40"/>
    </row>
    <row r="35" spans="1:14" outlineLevel="1" x14ac:dyDescent="0.15">
      <c r="A35" s="37"/>
      <c r="B35" s="45" t="s">
        <v>245</v>
      </c>
      <c r="C35" s="37"/>
      <c r="D35" s="37"/>
      <c r="E35" s="37"/>
      <c r="F35" s="37"/>
      <c r="G35" s="37"/>
      <c r="H35" s="46">
        <v>0.18</v>
      </c>
      <c r="I35" s="46">
        <v>0.1</v>
      </c>
      <c r="J35" s="46">
        <v>0.08</v>
      </c>
      <c r="K35" s="46">
        <v>7.0000000000000007E-2</v>
      </c>
      <c r="L35" s="46">
        <v>0.06</v>
      </c>
      <c r="M35" s="37"/>
      <c r="N35" s="37"/>
    </row>
    <row r="36" spans="1:14" outlineLevel="1" x14ac:dyDescent="0.15">
      <c r="A36" s="37"/>
      <c r="B36" s="45" t="s">
        <v>246</v>
      </c>
      <c r="C36" s="37"/>
      <c r="D36" s="37"/>
      <c r="E36" s="37"/>
      <c r="F36" s="37"/>
      <c r="G36" s="37"/>
      <c r="H36" s="46">
        <v>0.22</v>
      </c>
      <c r="I36" s="46">
        <v>0.13</v>
      </c>
      <c r="J36" s="46">
        <v>0.1</v>
      </c>
      <c r="K36" s="46">
        <v>0.08</v>
      </c>
      <c r="L36" s="46">
        <v>7.0000000000000007E-2</v>
      </c>
      <c r="M36" s="37"/>
      <c r="N36" s="37"/>
    </row>
    <row r="37" spans="1:14" outlineLevel="1" x14ac:dyDescent="0.15">
      <c r="A37" s="37"/>
      <c r="B37" s="45" t="s">
        <v>247</v>
      </c>
      <c r="C37" s="37"/>
      <c r="D37" s="37"/>
      <c r="E37" s="37"/>
      <c r="F37" s="37"/>
      <c r="G37" s="37"/>
      <c r="H37" s="46">
        <v>0.14000000000000001</v>
      </c>
      <c r="I37" s="46">
        <v>0.06</v>
      </c>
      <c r="J37" s="46">
        <v>0.05</v>
      </c>
      <c r="K37" s="46">
        <v>0.04</v>
      </c>
      <c r="L37" s="46">
        <v>0.04</v>
      </c>
      <c r="M37" s="37"/>
      <c r="N37" s="37"/>
    </row>
    <row r="38" spans="1:14" outlineLevel="1" x14ac:dyDescent="0.15">
      <c r="A38" s="37"/>
      <c r="B38" s="47" t="s">
        <v>248</v>
      </c>
      <c r="C38" s="37"/>
      <c r="D38" s="37"/>
      <c r="E38" s="37"/>
      <c r="F38" s="37"/>
      <c r="G38" s="37"/>
      <c r="H38" s="48">
        <f>CHOOSE(Scenario,H35,H36,H37)</f>
        <v>0.18</v>
      </c>
      <c r="I38" s="48">
        <f>CHOOSE(Scenario,I35,I36,I37)</f>
        <v>0.1</v>
      </c>
      <c r="J38" s="48">
        <f>CHOOSE(Scenario,J35,J36,J37)</f>
        <v>0.08</v>
      </c>
      <c r="K38" s="48">
        <f>CHOOSE(Scenario,K35,K36,K37)</f>
        <v>7.0000000000000007E-2</v>
      </c>
      <c r="L38" s="48">
        <f>CHOOSE(Scenario,L35,L36,L37)</f>
        <v>0.06</v>
      </c>
      <c r="M38" s="37"/>
      <c r="N38" s="37"/>
    </row>
    <row r="39" spans="1:14" outlineLevel="1" x14ac:dyDescent="0.1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spans="1:14" outlineLevel="1" x14ac:dyDescent="0.15">
      <c r="A40" s="37"/>
      <c r="B40" s="44" t="s">
        <v>13</v>
      </c>
      <c r="C40" s="37"/>
      <c r="D40" s="37"/>
      <c r="E40" s="57" t="str">
        <f>Model!E23</f>
        <v>n.m.</v>
      </c>
      <c r="F40" s="57" t="str">
        <f>Model!F23</f>
        <v>n.m.</v>
      </c>
      <c r="G40" s="57">
        <f>Model!G23</f>
        <v>5.6352048558421908E-2</v>
      </c>
      <c r="H40" s="37"/>
      <c r="I40" s="37"/>
      <c r="J40" s="37"/>
      <c r="K40" s="37"/>
      <c r="L40" s="37"/>
      <c r="M40" s="37"/>
      <c r="N40" s="40"/>
    </row>
    <row r="41" spans="1:14" outlineLevel="1" x14ac:dyDescent="0.15">
      <c r="A41" s="37"/>
      <c r="B41" s="45" t="s">
        <v>245</v>
      </c>
      <c r="C41" s="37"/>
      <c r="D41" s="37"/>
      <c r="E41" s="37"/>
      <c r="F41" s="37"/>
      <c r="G41" s="37"/>
      <c r="H41" s="46">
        <v>-0.04</v>
      </c>
      <c r="I41" s="46">
        <v>1.4999999999999999E-2</v>
      </c>
      <c r="J41" s="46">
        <v>0.02</v>
      </c>
      <c r="K41" s="46">
        <v>0.02</v>
      </c>
      <c r="L41" s="46">
        <v>0.02</v>
      </c>
      <c r="M41" s="37"/>
      <c r="N41" s="37"/>
    </row>
    <row r="42" spans="1:14" outlineLevel="1" x14ac:dyDescent="0.15">
      <c r="A42" s="37"/>
      <c r="B42" s="45" t="s">
        <v>246</v>
      </c>
      <c r="C42" s="37"/>
      <c r="D42" s="37"/>
      <c r="E42" s="37"/>
      <c r="F42" s="37"/>
      <c r="G42" s="37"/>
      <c r="H42" s="46">
        <v>-0.02</v>
      </c>
      <c r="I42" s="46">
        <v>0.03</v>
      </c>
      <c r="J42" s="46">
        <v>0.03</v>
      </c>
      <c r="K42" s="46">
        <v>0.03</v>
      </c>
      <c r="L42" s="46">
        <v>2.5000000000000001E-2</v>
      </c>
      <c r="M42" s="37"/>
      <c r="N42" s="37"/>
    </row>
    <row r="43" spans="1:14" outlineLevel="1" x14ac:dyDescent="0.15">
      <c r="A43" s="37"/>
      <c r="B43" s="45" t="s">
        <v>247</v>
      </c>
      <c r="C43" s="37"/>
      <c r="D43" s="37"/>
      <c r="E43" s="37"/>
      <c r="F43" s="37"/>
      <c r="G43" s="37"/>
      <c r="H43" s="46">
        <v>-7.0000000000000007E-2</v>
      </c>
      <c r="I43" s="46">
        <v>-0.01</v>
      </c>
      <c r="J43" s="46">
        <v>0</v>
      </c>
      <c r="K43" s="46">
        <v>0</v>
      </c>
      <c r="L43" s="46">
        <v>5.0000000000000001E-3</v>
      </c>
      <c r="M43" s="37"/>
      <c r="N43" s="37"/>
    </row>
    <row r="44" spans="1:14" outlineLevel="1" x14ac:dyDescent="0.15">
      <c r="A44" s="37"/>
      <c r="B44" s="47" t="s">
        <v>248</v>
      </c>
      <c r="C44" s="37"/>
      <c r="D44" s="37"/>
      <c r="E44" s="37"/>
      <c r="F44" s="37"/>
      <c r="G44" s="37"/>
      <c r="H44" s="48">
        <f>CHOOSE(Scenario,H41,H42,H43)</f>
        <v>-0.04</v>
      </c>
      <c r="I44" s="48">
        <f>CHOOSE(Scenario,I41,I42,I43)</f>
        <v>1.4999999999999999E-2</v>
      </c>
      <c r="J44" s="48">
        <f>CHOOSE(Scenario,J41,J42,J43)</f>
        <v>0.02</v>
      </c>
      <c r="K44" s="48">
        <f>CHOOSE(Scenario,K41,K42,K43)</f>
        <v>0.02</v>
      </c>
      <c r="L44" s="48">
        <f>CHOOSE(Scenario,L41,L42,L43)</f>
        <v>0.02</v>
      </c>
      <c r="M44" s="37"/>
      <c r="N44" s="37"/>
    </row>
    <row r="45" spans="1:14" outlineLevel="1" x14ac:dyDescent="0.1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</row>
    <row r="46" spans="1:14" outlineLevel="1" x14ac:dyDescent="0.15">
      <c r="A46" s="37"/>
      <c r="B46" s="43" t="s">
        <v>249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</row>
    <row r="47" spans="1:14" outlineLevel="1" x14ac:dyDescent="0.15">
      <c r="A47" s="37"/>
      <c r="B47" s="49" t="s">
        <v>18</v>
      </c>
      <c r="C47" s="37"/>
      <c r="D47" s="57">
        <f>Model!D25</f>
        <v>-1.8801086693117589E-2</v>
      </c>
      <c r="E47" s="57">
        <f>Model!E25</f>
        <v>-1.8790005145363577E-2</v>
      </c>
      <c r="F47" s="57">
        <f>Model!F25</f>
        <v>-2.1865054052291163E-2</v>
      </c>
      <c r="G47" s="57">
        <f>Model!G25</f>
        <v>-3.0687616659370458E-2</v>
      </c>
      <c r="H47" s="46">
        <v>-0.04</v>
      </c>
      <c r="I47" s="46">
        <v>-0.04</v>
      </c>
      <c r="J47" s="46">
        <v>-0.04</v>
      </c>
      <c r="K47" s="46">
        <v>-0.04</v>
      </c>
      <c r="L47" s="46">
        <v>-0.04</v>
      </c>
      <c r="M47" s="37"/>
      <c r="N47" s="40"/>
    </row>
    <row r="48" spans="1:14" outlineLevel="1" x14ac:dyDescent="0.15">
      <c r="A48" s="37"/>
      <c r="B48" s="40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</row>
    <row r="49" spans="1:14" outlineLevel="1" x14ac:dyDescent="0.1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</row>
    <row r="50" spans="1:14" ht="18" customHeight="1" outlineLevel="1" x14ac:dyDescent="0.15">
      <c r="A50" s="66"/>
      <c r="B50" s="67" t="s">
        <v>250</v>
      </c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</row>
    <row r="51" spans="1:14" outlineLevel="1" x14ac:dyDescent="0.15">
      <c r="A51" s="66"/>
      <c r="B51" s="68" t="s">
        <v>31</v>
      </c>
      <c r="C51" s="66"/>
      <c r="D51" s="69">
        <f>Model!D43</f>
        <v>0.48155050662299925</v>
      </c>
      <c r="E51" s="69">
        <f>Model!E43</f>
        <v>0.44798065109239793</v>
      </c>
      <c r="F51" s="69">
        <f>Model!F43</f>
        <v>0.42301668307021334</v>
      </c>
      <c r="G51" s="69">
        <f>Model!G43</f>
        <v>0.39838109828898655</v>
      </c>
      <c r="H51" s="66"/>
      <c r="I51" s="66"/>
      <c r="J51" s="66"/>
      <c r="K51" s="66"/>
      <c r="L51" s="66"/>
      <c r="M51" s="66"/>
      <c r="N51" s="70"/>
    </row>
    <row r="52" spans="1:14" outlineLevel="1" x14ac:dyDescent="0.15">
      <c r="A52" s="66"/>
      <c r="B52" s="71" t="s">
        <v>245</v>
      </c>
      <c r="C52" s="66"/>
      <c r="D52" s="66"/>
      <c r="E52" s="66"/>
      <c r="F52" s="66"/>
      <c r="G52" s="66"/>
      <c r="H52" s="72">
        <v>0.39900000000000002</v>
      </c>
      <c r="I52" s="72">
        <v>0.40300000000000002</v>
      </c>
      <c r="J52" s="72">
        <v>0.40300000000000002</v>
      </c>
      <c r="K52" s="72">
        <v>0.40300000000000002</v>
      </c>
      <c r="L52" s="72">
        <v>0.40300000000000002</v>
      </c>
      <c r="M52" s="66"/>
      <c r="N52" s="66"/>
    </row>
    <row r="53" spans="1:14" outlineLevel="1" x14ac:dyDescent="0.15">
      <c r="A53" s="66"/>
      <c r="B53" s="71" t="s">
        <v>246</v>
      </c>
      <c r="C53" s="66"/>
      <c r="D53" s="66"/>
      <c r="E53" s="66"/>
      <c r="F53" s="66"/>
      <c r="G53" s="66"/>
      <c r="H53" s="72">
        <v>0.39500000000000002</v>
      </c>
      <c r="I53" s="72">
        <v>0.39500000000000002</v>
      </c>
      <c r="J53" s="72">
        <v>0.39500000000000002</v>
      </c>
      <c r="K53" s="72">
        <v>0.39500000000000002</v>
      </c>
      <c r="L53" s="72">
        <v>0.39500000000000002</v>
      </c>
      <c r="M53" s="66"/>
      <c r="N53" s="66"/>
    </row>
    <row r="54" spans="1:14" ht="13" customHeight="1" outlineLevel="1" x14ac:dyDescent="0.15">
      <c r="A54" s="66"/>
      <c r="B54" s="71" t="s">
        <v>247</v>
      </c>
      <c r="C54" s="66"/>
      <c r="D54" s="66"/>
      <c r="E54" s="66"/>
      <c r="F54" s="66"/>
      <c r="G54" s="66"/>
      <c r="H54" s="72">
        <v>0.41499999999999998</v>
      </c>
      <c r="I54" s="72">
        <v>0.41499999999999998</v>
      </c>
      <c r="J54" s="72">
        <v>0.41499999999999998</v>
      </c>
      <c r="K54" s="72">
        <v>0.41499999999999998</v>
      </c>
      <c r="L54" s="72">
        <v>0.41499999999999998</v>
      </c>
      <c r="M54" s="66"/>
      <c r="N54" s="66"/>
    </row>
    <row r="55" spans="1:14" outlineLevel="1" x14ac:dyDescent="0.15">
      <c r="A55" s="66"/>
      <c r="B55" s="73" t="s">
        <v>248</v>
      </c>
      <c r="C55" s="66"/>
      <c r="D55" s="66"/>
      <c r="E55" s="66"/>
      <c r="F55" s="66"/>
      <c r="G55" s="66"/>
      <c r="H55" s="74">
        <f>CHOOSE(Scenario,H52,H53,H54)</f>
        <v>0.39900000000000002</v>
      </c>
      <c r="I55" s="74">
        <f>CHOOSE(Scenario,I52,I53,I54)</f>
        <v>0.40300000000000002</v>
      </c>
      <c r="J55" s="74">
        <f>CHOOSE(Scenario,J52,J53,J54)</f>
        <v>0.40300000000000002</v>
      </c>
      <c r="K55" s="74">
        <f>CHOOSE(Scenario,K52,K53,K54)</f>
        <v>0.40300000000000002</v>
      </c>
      <c r="L55" s="74">
        <f>CHOOSE(Scenario,L52,L53,L54)</f>
        <v>0.40300000000000002</v>
      </c>
      <c r="M55" s="66"/>
      <c r="N55" s="70"/>
    </row>
    <row r="56" spans="1:14" outlineLevel="1" x14ac:dyDescent="0.1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</row>
    <row r="57" spans="1:14" outlineLevel="1" x14ac:dyDescent="0.15">
      <c r="A57" s="66"/>
      <c r="B57" s="68" t="s">
        <v>21</v>
      </c>
      <c r="C57" s="66"/>
      <c r="D57" s="69">
        <f>Model!D44</f>
        <v>0.19172781578416728</v>
      </c>
      <c r="E57" s="69">
        <f>Model!E44</f>
        <v>0.20918635832049404</v>
      </c>
      <c r="F57" s="69">
        <f>Model!F44</f>
        <v>0.21123930050957626</v>
      </c>
      <c r="G57" s="69">
        <f>Model!G44</f>
        <v>0.21412179356999339</v>
      </c>
      <c r="H57" s="66"/>
      <c r="I57" s="66"/>
      <c r="J57" s="66"/>
      <c r="K57" s="66"/>
      <c r="L57" s="66"/>
      <c r="M57" s="66"/>
      <c r="N57" s="70"/>
    </row>
    <row r="58" spans="1:14" outlineLevel="1" x14ac:dyDescent="0.15">
      <c r="A58" s="66"/>
      <c r="B58" s="71" t="s">
        <v>245</v>
      </c>
      <c r="C58" s="66"/>
      <c r="D58" s="66"/>
      <c r="E58" s="66"/>
      <c r="F58" s="66"/>
      <c r="G58" s="66"/>
      <c r="H58" s="72">
        <v>0.223</v>
      </c>
      <c r="I58" s="72">
        <v>0.222</v>
      </c>
      <c r="J58" s="72">
        <v>0.221</v>
      </c>
      <c r="K58" s="72">
        <v>0.22</v>
      </c>
      <c r="L58" s="72">
        <v>0.22</v>
      </c>
      <c r="M58" s="66"/>
      <c r="N58" s="66"/>
    </row>
    <row r="59" spans="1:14" outlineLevel="1" x14ac:dyDescent="0.15">
      <c r="A59" s="66"/>
      <c r="B59" s="71" t="s">
        <v>246</v>
      </c>
      <c r="C59" s="66"/>
      <c r="D59" s="66"/>
      <c r="E59" s="66"/>
      <c r="F59" s="66"/>
      <c r="G59" s="66"/>
      <c r="H59" s="72">
        <v>0.22</v>
      </c>
      <c r="I59" s="72">
        <v>0.218</v>
      </c>
      <c r="J59" s="72">
        <v>0.217</v>
      </c>
      <c r="K59" s="72">
        <v>0.216</v>
      </c>
      <c r="L59" s="72">
        <v>0.216</v>
      </c>
      <c r="M59" s="66"/>
      <c r="N59" s="66"/>
    </row>
    <row r="60" spans="1:14" outlineLevel="1" x14ac:dyDescent="0.15">
      <c r="A60" s="66"/>
      <c r="B60" s="71" t="s">
        <v>247</v>
      </c>
      <c r="C60" s="66"/>
      <c r="D60" s="66"/>
      <c r="E60" s="66"/>
      <c r="F60" s="66"/>
      <c r="G60" s="66"/>
      <c r="H60" s="72">
        <v>0.22600000000000001</v>
      </c>
      <c r="I60" s="72">
        <v>0.22700000000000001</v>
      </c>
      <c r="J60" s="72">
        <v>0.22800000000000001</v>
      </c>
      <c r="K60" s="72">
        <v>0.22800000000000001</v>
      </c>
      <c r="L60" s="72">
        <v>0.22800000000000001</v>
      </c>
      <c r="M60" s="66"/>
      <c r="N60" s="66"/>
    </row>
    <row r="61" spans="1:14" outlineLevel="1" x14ac:dyDescent="0.15">
      <c r="A61" s="66"/>
      <c r="B61" s="73" t="s">
        <v>248</v>
      </c>
      <c r="C61" s="66"/>
      <c r="D61" s="66"/>
      <c r="E61" s="66"/>
      <c r="F61" s="66"/>
      <c r="G61" s="66"/>
      <c r="H61" s="74">
        <f>CHOOSE(Scenario,H58,H59,H60)</f>
        <v>0.223</v>
      </c>
      <c r="I61" s="74">
        <f>CHOOSE(Scenario,I58,I59,I60)</f>
        <v>0.222</v>
      </c>
      <c r="J61" s="74">
        <f>CHOOSE(Scenario,J58,J59,J60)</f>
        <v>0.221</v>
      </c>
      <c r="K61" s="74">
        <f>CHOOSE(Scenario,K58,K59,K60)</f>
        <v>0.22</v>
      </c>
      <c r="L61" s="74">
        <f>CHOOSE(Scenario,L58,L59,L60)</f>
        <v>0.22</v>
      </c>
      <c r="M61" s="66"/>
      <c r="N61" s="70"/>
    </row>
    <row r="62" spans="1:14" outlineLevel="1" x14ac:dyDescent="0.1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</row>
    <row r="63" spans="1:14" outlineLevel="1" x14ac:dyDescent="0.15">
      <c r="A63" s="66"/>
      <c r="B63" s="67" t="s">
        <v>251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</row>
    <row r="64" spans="1:14" outlineLevel="1" x14ac:dyDescent="0.15">
      <c r="A64" s="66"/>
      <c r="B64" s="75" t="s">
        <v>22</v>
      </c>
      <c r="C64" s="66"/>
      <c r="D64" s="69">
        <f>Model!D45</f>
        <v>0.17437136235340844</v>
      </c>
      <c r="E64" s="69">
        <f>Model!E45</f>
        <v>0.17594463494851559</v>
      </c>
      <c r="F64" s="69">
        <f>Model!F45</f>
        <v>0.18299770807546287</v>
      </c>
      <c r="G64" s="69">
        <f>Model!G45</f>
        <v>0.18886405547608368</v>
      </c>
      <c r="H64" s="72">
        <v>0.19</v>
      </c>
      <c r="I64" s="72">
        <v>0.19</v>
      </c>
      <c r="J64" s="72">
        <v>0.19</v>
      </c>
      <c r="K64" s="72">
        <v>0.19</v>
      </c>
      <c r="L64" s="72">
        <v>0.19</v>
      </c>
      <c r="M64" s="66"/>
      <c r="N64" s="66"/>
    </row>
    <row r="65" spans="1:14" outlineLevel="1" x14ac:dyDescent="0.15">
      <c r="A65" s="66"/>
      <c r="B65" s="75" t="s">
        <v>23</v>
      </c>
      <c r="C65" s="66"/>
      <c r="D65" s="69">
        <f>Model!D46</f>
        <v>1.3616397834033667E-2</v>
      </c>
      <c r="E65" s="69">
        <f>Model!E46</f>
        <v>2.5692215615856339E-2</v>
      </c>
      <c r="F65" s="69">
        <f>Model!F46</f>
        <v>1.923532792459957E-2</v>
      </c>
      <c r="G65" s="69">
        <f>Model!G46</f>
        <v>2.4125728729865785E-2</v>
      </c>
      <c r="H65" s="72">
        <v>2.4E-2</v>
      </c>
      <c r="I65" s="72">
        <v>2.4E-2</v>
      </c>
      <c r="J65" s="72">
        <v>2.4E-2</v>
      </c>
      <c r="K65" s="72">
        <v>2.4E-2</v>
      </c>
      <c r="L65" s="72">
        <v>2.4E-2</v>
      </c>
      <c r="M65" s="66"/>
      <c r="N65" s="66"/>
    </row>
    <row r="66" spans="1:14" outlineLevel="1" x14ac:dyDescent="0.15">
      <c r="A66" s="66"/>
      <c r="B66" s="75" t="s">
        <v>252</v>
      </c>
      <c r="C66" s="66"/>
      <c r="D66" s="69">
        <f>(Model!D34+Model!D35)/Model!D29</f>
        <v>-3.026303559338305E-3</v>
      </c>
      <c r="E66" s="69">
        <f>(Model!E34+Model!E35)/Model!E29</f>
        <v>6.9751762435957335E-3</v>
      </c>
      <c r="F66" s="69">
        <f>(Model!F34+Model!F35)/Model!F29</f>
        <v>9.4847902711733233E-3</v>
      </c>
      <c r="G66" s="69">
        <f>(Model!G34+Model!G35)/Model!G29</f>
        <v>4.5114859803420532E-3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66"/>
      <c r="N66" s="70"/>
    </row>
    <row r="67" spans="1:14" outlineLevel="1" x14ac:dyDescent="0.1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</row>
    <row r="68" spans="1:14" outlineLevel="1" x14ac:dyDescent="0.15">
      <c r="A68" s="66"/>
      <c r="B68" s="75" t="s">
        <v>253</v>
      </c>
      <c r="C68" s="66"/>
      <c r="D68" s="191">
        <v>1800</v>
      </c>
      <c r="E68" s="191">
        <v>1900</v>
      </c>
      <c r="F68" s="66"/>
      <c r="G68" s="66"/>
      <c r="H68" s="66"/>
      <c r="I68" s="66"/>
      <c r="J68" s="66"/>
      <c r="K68" s="66"/>
      <c r="L68" s="66"/>
      <c r="M68" s="66"/>
      <c r="N68" s="70" t="s">
        <v>659</v>
      </c>
    </row>
    <row r="69" spans="1:14" outlineLevel="1" x14ac:dyDescent="0.1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</row>
    <row r="70" spans="1:14" outlineLevel="1" x14ac:dyDescent="0.15">
      <c r="A70" s="78"/>
      <c r="B70" s="79" t="s">
        <v>254</v>
      </c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</row>
    <row r="71" spans="1:14" outlineLevel="1" x14ac:dyDescent="0.15">
      <c r="A71" s="78"/>
      <c r="B71" s="80" t="s">
        <v>128</v>
      </c>
      <c r="C71" s="78"/>
      <c r="D71" s="81">
        <f>Model!D185</f>
        <v>5.2529280213894504E-2</v>
      </c>
      <c r="E71" s="81">
        <f>Model!E185</f>
        <v>4.7995173359855467E-2</v>
      </c>
      <c r="F71" s="81">
        <f>Model!F185</f>
        <v>7.4413508160520087E-2</v>
      </c>
      <c r="G71" s="81">
        <f>Model!G185</f>
        <v>0.11385704434530916</v>
      </c>
      <c r="H71" s="78"/>
      <c r="I71" s="78"/>
      <c r="J71" s="78"/>
      <c r="K71" s="78"/>
      <c r="L71" s="78"/>
      <c r="M71" s="78"/>
      <c r="N71" s="82"/>
    </row>
    <row r="72" spans="1:14" outlineLevel="1" x14ac:dyDescent="0.15">
      <c r="A72" s="78"/>
      <c r="B72" s="83" t="s">
        <v>245</v>
      </c>
      <c r="C72" s="78"/>
      <c r="D72" s="78"/>
      <c r="E72" s="78"/>
      <c r="F72" s="78"/>
      <c r="G72" s="78"/>
      <c r="H72" s="84">
        <v>0.1</v>
      </c>
      <c r="I72" s="84">
        <v>8.5000000000000006E-2</v>
      </c>
      <c r="J72" s="84">
        <v>7.4999999999999997E-2</v>
      </c>
      <c r="K72" s="84">
        <v>7.0000000000000007E-2</v>
      </c>
      <c r="L72" s="84">
        <v>6.5000000000000002E-2</v>
      </c>
      <c r="M72" s="78"/>
      <c r="N72" s="78"/>
    </row>
    <row r="73" spans="1:14" outlineLevel="1" x14ac:dyDescent="0.15">
      <c r="A73" s="78"/>
      <c r="B73" s="83" t="s">
        <v>246</v>
      </c>
      <c r="C73" s="78"/>
      <c r="D73" s="78"/>
      <c r="E73" s="78"/>
      <c r="F73" s="78"/>
      <c r="G73" s="78"/>
      <c r="H73" s="84">
        <v>9.5000000000000001E-2</v>
      </c>
      <c r="I73" s="84">
        <v>7.4999999999999997E-2</v>
      </c>
      <c r="J73" s="84">
        <v>6.5000000000000002E-2</v>
      </c>
      <c r="K73" s="84">
        <v>0.06</v>
      </c>
      <c r="L73" s="84">
        <v>0.06</v>
      </c>
      <c r="M73" s="78"/>
      <c r="N73" s="78"/>
    </row>
    <row r="74" spans="1:14" outlineLevel="1" x14ac:dyDescent="0.15">
      <c r="A74" s="78"/>
      <c r="B74" s="83" t="s">
        <v>247</v>
      </c>
      <c r="C74" s="78"/>
      <c r="D74" s="78"/>
      <c r="E74" s="78"/>
      <c r="F74" s="78"/>
      <c r="G74" s="78"/>
      <c r="H74" s="135">
        <f>H72</f>
        <v>0.1</v>
      </c>
      <c r="I74" s="135">
        <f>I72</f>
        <v>8.5000000000000006E-2</v>
      </c>
      <c r="J74" s="135">
        <f>J72</f>
        <v>7.4999999999999997E-2</v>
      </c>
      <c r="K74" s="135">
        <f>K72</f>
        <v>7.0000000000000007E-2</v>
      </c>
      <c r="L74" s="135">
        <f>L72</f>
        <v>6.5000000000000002E-2</v>
      </c>
      <c r="M74" s="78"/>
      <c r="N74" s="78"/>
    </row>
    <row r="75" spans="1:14" outlineLevel="1" x14ac:dyDescent="0.15">
      <c r="A75" s="78"/>
      <c r="B75" s="85" t="s">
        <v>248</v>
      </c>
      <c r="C75" s="78"/>
      <c r="D75" s="78"/>
      <c r="E75" s="78"/>
      <c r="F75" s="78"/>
      <c r="G75" s="78"/>
      <c r="H75" s="86">
        <f>CHOOSE(Scenario,H72,H73,H74)</f>
        <v>0.1</v>
      </c>
      <c r="I75" s="86">
        <f>CHOOSE(Scenario,I72,I73,I74)</f>
        <v>8.5000000000000006E-2</v>
      </c>
      <c r="J75" s="86">
        <f>CHOOSE(Scenario,J72,J73,J74)</f>
        <v>7.4999999999999997E-2</v>
      </c>
      <c r="K75" s="86">
        <f>CHOOSE(Scenario,K72,K73,K74)</f>
        <v>7.0000000000000007E-2</v>
      </c>
      <c r="L75" s="86">
        <f>CHOOSE(Scenario,L72,L73,L74)</f>
        <v>6.5000000000000002E-2</v>
      </c>
      <c r="M75" s="78"/>
      <c r="N75" s="82"/>
    </row>
    <row r="76" spans="1:14" outlineLevel="1" x14ac:dyDescent="0.1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</row>
    <row r="77" spans="1:14" outlineLevel="1" x14ac:dyDescent="0.15">
      <c r="A77" s="78"/>
      <c r="B77" s="79" t="s">
        <v>255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</row>
    <row r="78" spans="1:14" outlineLevel="1" x14ac:dyDescent="0.15">
      <c r="A78" s="78"/>
      <c r="B78" s="87" t="s">
        <v>129</v>
      </c>
      <c r="C78" s="78"/>
      <c r="D78" s="78"/>
      <c r="E78" s="78"/>
      <c r="F78" s="81">
        <f>Model!F186</f>
        <v>1.771989106974195E-2</v>
      </c>
      <c r="G78" s="81">
        <f>Model!G186</f>
        <v>2.0840632720147648E-2</v>
      </c>
      <c r="H78" s="84">
        <v>0.02</v>
      </c>
      <c r="I78" s="84">
        <v>0.02</v>
      </c>
      <c r="J78" s="84">
        <v>0.02</v>
      </c>
      <c r="K78" s="84">
        <v>0.02</v>
      </c>
      <c r="L78" s="84">
        <v>0.02</v>
      </c>
      <c r="M78" s="78"/>
      <c r="N78" s="82"/>
    </row>
    <row r="79" spans="1:14" outlineLevel="1" x14ac:dyDescent="0.15">
      <c r="A79" s="78"/>
      <c r="B79" s="87" t="s">
        <v>131</v>
      </c>
      <c r="C79" s="78"/>
      <c r="D79" s="78"/>
      <c r="E79" s="81">
        <f>Model!E188</f>
        <v>0.17441504326157659</v>
      </c>
      <c r="F79" s="81">
        <f>Model!F188</f>
        <v>0.21651759472861584</v>
      </c>
      <c r="G79" s="81">
        <f>Model!G188</f>
        <v>0.1712360746479463</v>
      </c>
      <c r="H79" s="84">
        <v>0.17</v>
      </c>
      <c r="I79" s="84">
        <v>0.17</v>
      </c>
      <c r="J79" s="84">
        <v>0.17</v>
      </c>
      <c r="K79" s="84">
        <v>0.17</v>
      </c>
      <c r="L79" s="84">
        <v>0.17</v>
      </c>
      <c r="M79" s="78"/>
      <c r="N79" s="82"/>
    </row>
    <row r="80" spans="1:14" outlineLevel="1" x14ac:dyDescent="0.1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</row>
    <row r="81" spans="1:14" outlineLevel="1" x14ac:dyDescent="0.15">
      <c r="A81" s="78"/>
      <c r="B81" s="79" t="s">
        <v>256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</row>
    <row r="82" spans="1:14" outlineLevel="1" x14ac:dyDescent="0.15">
      <c r="A82" s="78"/>
      <c r="B82" s="87" t="s">
        <v>118</v>
      </c>
      <c r="C82" s="82" t="s">
        <v>119</v>
      </c>
      <c r="D82" s="88">
        <f>Model!D170</f>
        <v>46.254330002575145</v>
      </c>
      <c r="E82" s="88">
        <f>Model!E170</f>
        <v>47.039415988510157</v>
      </c>
      <c r="F82" s="88">
        <f>Model!F170</f>
        <v>47.80407027533866</v>
      </c>
      <c r="G82" s="88">
        <f>Model!G170</f>
        <v>45.426044751471231</v>
      </c>
      <c r="H82" s="89">
        <v>46</v>
      </c>
      <c r="I82" s="89">
        <v>46</v>
      </c>
      <c r="J82" s="89">
        <v>46</v>
      </c>
      <c r="K82" s="89">
        <v>46</v>
      </c>
      <c r="L82" s="89">
        <v>46</v>
      </c>
      <c r="M82" s="78"/>
      <c r="N82" s="82"/>
    </row>
    <row r="83" spans="1:14" outlineLevel="1" x14ac:dyDescent="0.15">
      <c r="A83" s="78"/>
      <c r="B83" s="87" t="s">
        <v>120</v>
      </c>
      <c r="C83" s="82" t="s">
        <v>119</v>
      </c>
      <c r="D83" s="88">
        <f>Model!D171</f>
        <v>73.766853349653914</v>
      </c>
      <c r="E83" s="88">
        <f>Model!E171</f>
        <v>66.211109021890067</v>
      </c>
      <c r="F83" s="88">
        <f>Model!F171</f>
        <v>73.335876076266075</v>
      </c>
      <c r="G83" s="88">
        <f>Model!G171</f>
        <v>85.877707342657104</v>
      </c>
      <c r="H83" s="89">
        <v>80</v>
      </c>
      <c r="I83" s="89">
        <v>80</v>
      </c>
      <c r="J83" s="89">
        <v>80</v>
      </c>
      <c r="K83" s="89">
        <v>80</v>
      </c>
      <c r="L83" s="89">
        <v>80</v>
      </c>
      <c r="M83" s="78"/>
      <c r="N83" s="82"/>
    </row>
    <row r="84" spans="1:14" outlineLevel="1" x14ac:dyDescent="0.15">
      <c r="A84" s="78"/>
      <c r="B84" s="87" t="s">
        <v>121</v>
      </c>
      <c r="C84" s="82" t="s">
        <v>119</v>
      </c>
      <c r="D84" s="88">
        <f>Model!D172</f>
        <v>176.40360441700088</v>
      </c>
      <c r="E84" s="88">
        <f>Model!E172</f>
        <v>185.86460229365645</v>
      </c>
      <c r="F84" s="88">
        <f>Model!F172</f>
        <v>201.0302172573318</v>
      </c>
      <c r="G84" s="88">
        <f>Model!G172</f>
        <v>204.41782606858825</v>
      </c>
      <c r="H84" s="89">
        <v>195</v>
      </c>
      <c r="I84" s="89">
        <v>195</v>
      </c>
      <c r="J84" s="89">
        <v>195</v>
      </c>
      <c r="K84" s="89">
        <v>195</v>
      </c>
      <c r="L84" s="89">
        <v>195</v>
      </c>
      <c r="M84" s="78"/>
      <c r="N84" s="82"/>
    </row>
    <row r="85" spans="1:14" x14ac:dyDescent="0.1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</row>
    <row r="86" spans="1:14" outlineLevel="1" x14ac:dyDescent="0.15">
      <c r="A86" s="101"/>
      <c r="B86" s="102" t="s">
        <v>722</v>
      </c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</row>
    <row r="87" spans="1:14" outlineLevel="1" x14ac:dyDescent="0.15">
      <c r="A87" s="78"/>
      <c r="B87" s="103" t="s">
        <v>257</v>
      </c>
      <c r="C87" s="78"/>
      <c r="D87" s="78"/>
      <c r="E87" s="78"/>
      <c r="F87" s="78"/>
      <c r="G87" s="78"/>
      <c r="H87" s="104">
        <v>0.05</v>
      </c>
      <c r="I87" s="104">
        <v>0.05</v>
      </c>
      <c r="J87" s="104">
        <v>0.05</v>
      </c>
      <c r="K87" s="104">
        <v>0.05</v>
      </c>
      <c r="L87" s="104">
        <v>0.05</v>
      </c>
      <c r="M87" s="78"/>
      <c r="N87" s="78"/>
    </row>
    <row r="88" spans="1:14" outlineLevel="1" x14ac:dyDescent="0.15">
      <c r="A88" s="78"/>
      <c r="B88" s="103" t="s">
        <v>258</v>
      </c>
      <c r="C88" s="78"/>
      <c r="D88" s="78"/>
      <c r="E88" s="78"/>
      <c r="F88" s="78"/>
      <c r="G88" s="78"/>
      <c r="H88" s="104">
        <v>6.5000000000000002E-2</v>
      </c>
      <c r="I88" s="104">
        <v>6.5000000000000002E-2</v>
      </c>
      <c r="J88" s="104">
        <v>6.5000000000000002E-2</v>
      </c>
      <c r="K88" s="104">
        <v>6.5000000000000002E-2</v>
      </c>
      <c r="L88" s="104">
        <v>6.5000000000000002E-2</v>
      </c>
      <c r="M88" s="78"/>
      <c r="N88" s="78"/>
    </row>
    <row r="89" spans="1:14" outlineLevel="1" x14ac:dyDescent="0.15">
      <c r="A89" s="78"/>
      <c r="B89" s="103" t="s">
        <v>259</v>
      </c>
      <c r="C89" s="78"/>
      <c r="D89" s="78"/>
      <c r="E89" s="78"/>
      <c r="F89" s="78"/>
      <c r="G89" s="78"/>
      <c r="H89" s="104">
        <v>0.36</v>
      </c>
      <c r="I89" s="104">
        <v>0.36</v>
      </c>
      <c r="J89" s="104">
        <v>0.36</v>
      </c>
      <c r="K89" s="104">
        <v>0.36</v>
      </c>
      <c r="L89" s="104">
        <v>0.36</v>
      </c>
      <c r="M89" s="78"/>
      <c r="N89" s="78"/>
    </row>
    <row r="90" spans="1:14" ht="18" customHeight="1" outlineLevel="1" x14ac:dyDescent="0.15">
      <c r="A90" s="78"/>
      <c r="B90" s="103" t="s">
        <v>260</v>
      </c>
      <c r="H90" s="104">
        <v>5.0000000000000001E-3</v>
      </c>
      <c r="I90" s="104">
        <v>5.0000000000000001E-3</v>
      </c>
      <c r="J90" s="104">
        <v>5.0000000000000001E-3</v>
      </c>
      <c r="K90" s="104">
        <v>5.0000000000000001E-3</v>
      </c>
      <c r="L90" s="104">
        <v>5.0000000000000001E-3</v>
      </c>
      <c r="M90" s="78"/>
      <c r="N90" s="78"/>
    </row>
    <row r="91" spans="1:14" outlineLevel="1" x14ac:dyDescent="0.15">
      <c r="A91" s="78"/>
      <c r="B91" s="103" t="s">
        <v>261</v>
      </c>
      <c r="H91" s="105">
        <v>25</v>
      </c>
      <c r="I91" s="105">
        <v>25</v>
      </c>
      <c r="J91" s="105">
        <v>25</v>
      </c>
      <c r="K91" s="105">
        <v>25</v>
      </c>
      <c r="L91" s="105">
        <v>25</v>
      </c>
      <c r="M91" s="78"/>
      <c r="N91" s="78"/>
    </row>
    <row r="92" spans="1:14" outlineLevel="1" x14ac:dyDescent="0.15">
      <c r="A92" s="78"/>
      <c r="B92" s="103" t="s">
        <v>262</v>
      </c>
      <c r="H92" s="105">
        <v>500</v>
      </c>
      <c r="I92" s="105">
        <v>500</v>
      </c>
      <c r="J92" s="105">
        <v>500</v>
      </c>
      <c r="K92" s="105">
        <v>500</v>
      </c>
      <c r="L92" s="105">
        <v>500</v>
      </c>
      <c r="M92" s="78"/>
      <c r="N92" s="78"/>
    </row>
    <row r="93" spans="1:14" outlineLevel="1" x14ac:dyDescent="0.15">
      <c r="A93" s="78"/>
      <c r="B93" s="103" t="s">
        <v>263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78"/>
      <c r="N93" s="78"/>
    </row>
    <row r="94" spans="1:14" outlineLevel="1" x14ac:dyDescent="0.15">
      <c r="A94" s="78"/>
      <c r="B94" s="103" t="s">
        <v>159</v>
      </c>
      <c r="H94" s="104">
        <v>0.26</v>
      </c>
      <c r="I94" s="104">
        <v>0.26</v>
      </c>
      <c r="J94" s="104">
        <v>0.26</v>
      </c>
      <c r="K94" s="104">
        <v>0.26</v>
      </c>
      <c r="L94" s="104">
        <v>0.26</v>
      </c>
      <c r="M94" s="78"/>
      <c r="N94" s="78"/>
    </row>
    <row r="95" spans="1:14" outlineLevel="1" x14ac:dyDescent="0.15">
      <c r="A95" s="78"/>
      <c r="B95" s="103" t="s">
        <v>264</v>
      </c>
      <c r="H95" s="104">
        <v>0.05</v>
      </c>
      <c r="I95" s="104">
        <v>0.05</v>
      </c>
      <c r="J95" s="104">
        <v>0.05</v>
      </c>
      <c r="K95" s="104">
        <v>0.05</v>
      </c>
      <c r="L95" s="104">
        <v>0.05</v>
      </c>
      <c r="M95" s="78"/>
      <c r="N95" s="78"/>
    </row>
    <row r="97" spans="1:14" x14ac:dyDescent="0.15">
      <c r="B97" s="79" t="s">
        <v>723</v>
      </c>
    </row>
    <row r="98" spans="1:14" x14ac:dyDescent="0.15">
      <c r="B98" s="80" t="s">
        <v>724</v>
      </c>
      <c r="D98" s="234">
        <f>Model!D77</f>
        <v>13.5</v>
      </c>
      <c r="E98" s="234">
        <f>Model!E77</f>
        <v>13.5</v>
      </c>
      <c r="F98" s="234">
        <f>Model!F77</f>
        <v>21</v>
      </c>
      <c r="G98" s="234">
        <f>Model!G77</f>
        <v>21</v>
      </c>
    </row>
    <row r="99" spans="1:14" outlineLevel="1" x14ac:dyDescent="0.15">
      <c r="A99" s="78"/>
      <c r="B99" s="83" t="s">
        <v>245</v>
      </c>
      <c r="H99" s="106">
        <v>21</v>
      </c>
      <c r="I99" s="106">
        <v>21</v>
      </c>
      <c r="J99" s="106">
        <v>21</v>
      </c>
      <c r="K99" s="106">
        <v>21</v>
      </c>
      <c r="L99" s="106">
        <v>21</v>
      </c>
      <c r="M99" s="78"/>
      <c r="N99" s="78"/>
    </row>
    <row r="100" spans="1:14" x14ac:dyDescent="0.15">
      <c r="B100" s="83" t="s">
        <v>246</v>
      </c>
      <c r="H100" s="106">
        <v>21</v>
      </c>
      <c r="I100" s="106">
        <v>21</v>
      </c>
      <c r="J100" s="106">
        <v>21</v>
      </c>
      <c r="K100" s="106">
        <v>21</v>
      </c>
      <c r="L100" s="106">
        <v>21</v>
      </c>
    </row>
    <row r="101" spans="1:14" x14ac:dyDescent="0.15">
      <c r="B101" s="83" t="s">
        <v>247</v>
      </c>
      <c r="H101" s="106">
        <v>10</v>
      </c>
      <c r="I101" s="106">
        <v>10</v>
      </c>
      <c r="J101" s="106">
        <v>10</v>
      </c>
      <c r="K101" s="106">
        <v>10</v>
      </c>
      <c r="L101" s="106">
        <v>10</v>
      </c>
    </row>
    <row r="102" spans="1:14" x14ac:dyDescent="0.15">
      <c r="B102" s="85" t="s">
        <v>248</v>
      </c>
      <c r="H102" s="232">
        <f>CHOOSE(Scenario,H99,H100,H101)</f>
        <v>21</v>
      </c>
      <c r="I102" s="232">
        <f>CHOOSE(Scenario,I99,I100,I101)</f>
        <v>21</v>
      </c>
      <c r="J102" s="232">
        <f>CHOOSE(Scenario,J99,J100,J101)</f>
        <v>21</v>
      </c>
      <c r="K102" s="232">
        <f>CHOOSE(Scenario,K99,K100,K101)</f>
        <v>21</v>
      </c>
      <c r="L102" s="232">
        <f>CHOOSE(Scenario,L99,L100,L101)</f>
        <v>21</v>
      </c>
    </row>
    <row r="103" spans="1:14" x14ac:dyDescent="0.15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</row>
    <row r="104" spans="1:14" ht="18" customHeight="1" x14ac:dyDescent="0.15">
      <c r="A104" s="107"/>
      <c r="B104" s="108" t="s">
        <v>265</v>
      </c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7"/>
      <c r="N104" s="107"/>
    </row>
    <row r="105" spans="1:14" outlineLevel="1" x14ac:dyDescent="0.15">
      <c r="A105" s="107"/>
      <c r="B105" s="110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</row>
    <row r="106" spans="1:14" x14ac:dyDescent="0.15">
      <c r="B106" s="123" t="s">
        <v>699</v>
      </c>
      <c r="C106" s="124" t="s">
        <v>194</v>
      </c>
      <c r="D106" s="125">
        <v>4.7E-2</v>
      </c>
      <c r="N106" s="124" t="s">
        <v>660</v>
      </c>
    </row>
    <row r="107" spans="1:14" x14ac:dyDescent="0.15">
      <c r="B107" s="123" t="s">
        <v>700</v>
      </c>
      <c r="C107" s="124" t="s">
        <v>194</v>
      </c>
      <c r="D107" s="125">
        <v>5.1000000000000004E-3</v>
      </c>
      <c r="N107" s="124" t="s">
        <v>662</v>
      </c>
    </row>
    <row r="108" spans="1:14" outlineLevel="1" x14ac:dyDescent="0.15">
      <c r="A108" s="107"/>
      <c r="B108" s="123" t="s">
        <v>266</v>
      </c>
      <c r="C108" s="124" t="s">
        <v>194</v>
      </c>
      <c r="D108" s="128">
        <f>D106-D107</f>
        <v>4.19E-2</v>
      </c>
      <c r="E108" s="126"/>
      <c r="F108" s="107"/>
      <c r="G108" s="107"/>
      <c r="H108" s="107"/>
      <c r="I108" s="107"/>
      <c r="J108" s="107"/>
      <c r="K108" s="107"/>
      <c r="L108" s="107"/>
      <c r="M108" s="107"/>
      <c r="N108" s="124"/>
    </row>
    <row r="109" spans="1:14" ht="14" customHeight="1" outlineLevel="1" x14ac:dyDescent="0.15">
      <c r="A109" s="107"/>
      <c r="B109" s="123" t="s">
        <v>267</v>
      </c>
      <c r="C109" s="124" t="s">
        <v>194</v>
      </c>
      <c r="D109" s="125">
        <v>4.2000000000000003E-2</v>
      </c>
      <c r="E109" s="126"/>
      <c r="F109" s="107"/>
      <c r="G109" s="107"/>
      <c r="H109" s="107"/>
      <c r="I109" s="107"/>
      <c r="J109" s="107"/>
      <c r="K109" s="107"/>
      <c r="L109" s="107"/>
      <c r="M109" s="107"/>
      <c r="N109" s="124" t="s">
        <v>661</v>
      </c>
    </row>
    <row r="110" spans="1:14" ht="14" customHeight="1" outlineLevel="1" x14ac:dyDescent="0.15">
      <c r="A110" s="107"/>
      <c r="B110" s="123" t="s">
        <v>268</v>
      </c>
      <c r="C110" s="127" t="s">
        <v>194</v>
      </c>
      <c r="D110" s="125">
        <v>7.7999999999999996E-3</v>
      </c>
      <c r="E110" s="126"/>
      <c r="M110" s="107"/>
      <c r="N110" s="124" t="s">
        <v>662</v>
      </c>
    </row>
    <row r="111" spans="1:14" outlineLevel="1" x14ac:dyDescent="0.15">
      <c r="A111" s="107"/>
      <c r="B111" s="123" t="s">
        <v>269</v>
      </c>
      <c r="C111" s="127" t="s">
        <v>194</v>
      </c>
      <c r="D111" s="128">
        <f>D109+D110</f>
        <v>4.9800000000000004E-2</v>
      </c>
      <c r="E111" s="126"/>
      <c r="M111" s="107"/>
      <c r="N111" s="107"/>
    </row>
    <row r="112" spans="1:14" outlineLevel="1" x14ac:dyDescent="0.15">
      <c r="A112" s="107"/>
      <c r="B112" s="123" t="s">
        <v>270</v>
      </c>
      <c r="C112" s="127" t="s">
        <v>133</v>
      </c>
      <c r="D112" s="129">
        <v>0.54</v>
      </c>
      <c r="E112" s="126"/>
      <c r="M112" s="107"/>
      <c r="N112" s="124" t="s">
        <v>663</v>
      </c>
    </row>
    <row r="113" spans="1:14" outlineLevel="1" x14ac:dyDescent="0.15">
      <c r="A113" s="107"/>
      <c r="B113" s="123" t="s">
        <v>191</v>
      </c>
      <c r="C113" s="127" t="s">
        <v>50</v>
      </c>
      <c r="D113" s="130">
        <v>493</v>
      </c>
      <c r="E113" s="126"/>
      <c r="M113" s="107"/>
      <c r="N113" s="124" t="s">
        <v>664</v>
      </c>
    </row>
    <row r="114" spans="1:14" outlineLevel="1" x14ac:dyDescent="0.15">
      <c r="A114" s="107"/>
      <c r="B114" s="123" t="s">
        <v>271</v>
      </c>
      <c r="C114" s="127" t="s">
        <v>8</v>
      </c>
      <c r="D114" s="185">
        <f>D113*SharesOut</f>
        <v>10517.529383000001</v>
      </c>
      <c r="E114" s="126"/>
      <c r="M114" s="107"/>
      <c r="N114" s="107"/>
    </row>
    <row r="115" spans="1:14" outlineLevel="1" x14ac:dyDescent="0.15">
      <c r="A115" s="107"/>
      <c r="B115" s="123" t="s">
        <v>272</v>
      </c>
      <c r="C115" s="127" t="s">
        <v>8</v>
      </c>
      <c r="D115" s="185">
        <f>Hist!E371</f>
        <v>6441.73</v>
      </c>
      <c r="E115" s="126"/>
      <c r="M115" s="107"/>
      <c r="N115" s="124"/>
    </row>
    <row r="116" spans="1:14" outlineLevel="1" x14ac:dyDescent="0.15">
      <c r="A116" s="107"/>
      <c r="B116" s="123" t="s">
        <v>273</v>
      </c>
      <c r="C116" s="127" t="s">
        <v>133</v>
      </c>
      <c r="D116" s="132">
        <f>D115/D114</f>
        <v>0.61247558865032348</v>
      </c>
      <c r="E116" s="126"/>
      <c r="M116" s="107"/>
      <c r="N116" s="124"/>
    </row>
    <row r="117" spans="1:14" outlineLevel="1" x14ac:dyDescent="0.15">
      <c r="A117" s="107"/>
      <c r="B117" s="123" t="s">
        <v>274</v>
      </c>
      <c r="C117" s="124" t="s">
        <v>133</v>
      </c>
      <c r="D117" s="133">
        <f>D112*(1+(1-TaxRate)*D116)</f>
        <v>0.80128208611822804</v>
      </c>
      <c r="E117" s="134"/>
      <c r="F117" s="107"/>
      <c r="G117" s="107"/>
      <c r="H117" s="107"/>
      <c r="I117" s="107"/>
      <c r="J117" s="107"/>
      <c r="K117" s="107"/>
      <c r="L117" s="107"/>
      <c r="M117" s="107"/>
      <c r="N117" s="124"/>
    </row>
    <row r="118" spans="1:14" outlineLevel="1" x14ac:dyDescent="0.15">
      <c r="A118" s="107"/>
      <c r="B118" s="123" t="s">
        <v>275</v>
      </c>
      <c r="C118" s="124" t="s">
        <v>194</v>
      </c>
      <c r="D118" s="128">
        <f>D108+D117*D111</f>
        <v>8.1803847888687761E-2</v>
      </c>
      <c r="E118" s="134"/>
      <c r="F118" s="107"/>
      <c r="G118" s="107"/>
      <c r="H118" s="107"/>
      <c r="I118" s="107"/>
      <c r="J118" s="107"/>
      <c r="K118" s="107"/>
      <c r="L118" s="107"/>
      <c r="M118" s="107"/>
      <c r="N118" s="124"/>
    </row>
    <row r="119" spans="1:14" outlineLevel="1" x14ac:dyDescent="0.15">
      <c r="A119" s="107"/>
      <c r="B119" s="123" t="s">
        <v>276</v>
      </c>
      <c r="C119" s="124" t="s">
        <v>194</v>
      </c>
      <c r="D119" s="128">
        <f>H87</f>
        <v>0.05</v>
      </c>
      <c r="E119" s="134"/>
      <c r="F119" s="107"/>
      <c r="G119" s="107"/>
      <c r="H119" s="107"/>
      <c r="I119" s="107"/>
      <c r="J119" s="107"/>
      <c r="K119" s="107"/>
      <c r="L119" s="107"/>
      <c r="M119" s="107"/>
      <c r="N119" s="124"/>
    </row>
    <row r="120" spans="1:14" outlineLevel="1" x14ac:dyDescent="0.15">
      <c r="A120" s="107"/>
      <c r="B120" s="123" t="s">
        <v>277</v>
      </c>
      <c r="C120" s="124" t="s">
        <v>194</v>
      </c>
      <c r="D120" s="128">
        <f>D119*(1-TaxRate)</f>
        <v>3.9500000000000007E-2</v>
      </c>
      <c r="E120" s="134"/>
      <c r="F120" s="107"/>
      <c r="G120" s="107"/>
      <c r="H120" s="107"/>
      <c r="I120" s="107"/>
      <c r="J120" s="107"/>
      <c r="K120" s="107"/>
      <c r="L120" s="107"/>
      <c r="M120" s="107"/>
      <c r="N120" s="124"/>
    </row>
    <row r="121" spans="1:14" outlineLevel="1" x14ac:dyDescent="0.15">
      <c r="A121" s="107"/>
      <c r="B121" s="123" t="s">
        <v>278</v>
      </c>
      <c r="C121" s="124" t="s">
        <v>194</v>
      </c>
      <c r="D121" s="135">
        <f>D115/(D115+D114)</f>
        <v>0.37983557268174128</v>
      </c>
      <c r="E121" s="134"/>
      <c r="F121" s="107"/>
      <c r="G121" s="107"/>
      <c r="H121" s="107"/>
      <c r="I121" s="107"/>
      <c r="J121" s="107"/>
      <c r="K121" s="107"/>
      <c r="L121" s="107"/>
      <c r="M121" s="107"/>
      <c r="N121" s="107"/>
    </row>
    <row r="122" spans="1:14" outlineLevel="1" x14ac:dyDescent="0.15">
      <c r="B122" s="123" t="s">
        <v>279</v>
      </c>
      <c r="C122" s="127" t="s">
        <v>194</v>
      </c>
      <c r="D122" s="135">
        <f>1-D121</f>
        <v>0.62016442731825872</v>
      </c>
      <c r="E122" s="126"/>
    </row>
    <row r="123" spans="1:14" outlineLevel="1" x14ac:dyDescent="0.15">
      <c r="B123" s="136" t="s">
        <v>170</v>
      </c>
      <c r="C123" s="127" t="s">
        <v>194</v>
      </c>
      <c r="D123" s="137">
        <f>D122*D118+D121*D120</f>
        <v>6.573534159924678E-2</v>
      </c>
      <c r="E123" s="126"/>
      <c r="N123" s="127"/>
    </row>
    <row r="125" spans="1:14" ht="18" customHeight="1" x14ac:dyDescent="0.15">
      <c r="A125" s="107"/>
      <c r="B125" s="108" t="s">
        <v>744</v>
      </c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7"/>
      <c r="N125" s="107"/>
    </row>
    <row r="127" spans="1:14" outlineLevel="1" x14ac:dyDescent="0.15">
      <c r="A127" s="107"/>
      <c r="B127" s="123" t="s">
        <v>745</v>
      </c>
      <c r="C127" s="127" t="s">
        <v>8</v>
      </c>
      <c r="D127" s="191">
        <v>150</v>
      </c>
      <c r="E127" s="126"/>
      <c r="M127" s="107"/>
      <c r="N127" s="124" t="s">
        <v>746</v>
      </c>
    </row>
    <row r="129" spans="2:12" ht="14" customHeight="1" x14ac:dyDescent="0.15">
      <c r="B129" s="108" t="s">
        <v>280</v>
      </c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</row>
    <row r="130" spans="2:12" x14ac:dyDescent="0.15">
      <c r="B130" s="111" t="s">
        <v>665</v>
      </c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</row>
    <row r="131" spans="2:12" x14ac:dyDescent="0.15">
      <c r="B131" s="112" t="s">
        <v>281</v>
      </c>
      <c r="C131" s="107"/>
      <c r="D131" s="113" t="s">
        <v>282</v>
      </c>
      <c r="E131" s="107"/>
      <c r="F131" s="107"/>
      <c r="G131" s="107"/>
      <c r="H131" s="107"/>
      <c r="I131" s="107"/>
      <c r="J131" s="107"/>
      <c r="K131" s="107"/>
      <c r="L131" s="107"/>
    </row>
    <row r="132" spans="2:12" x14ac:dyDescent="0.15">
      <c r="B132" s="112" t="s">
        <v>283</v>
      </c>
      <c r="C132" s="107"/>
      <c r="D132" s="113" t="s">
        <v>284</v>
      </c>
      <c r="E132" s="107"/>
      <c r="F132" s="107"/>
      <c r="G132" s="107"/>
      <c r="H132" s="107"/>
      <c r="I132" s="107"/>
      <c r="J132" s="107"/>
      <c r="K132" s="107"/>
      <c r="L132" s="107"/>
    </row>
    <row r="133" spans="2:12" x14ac:dyDescent="0.15">
      <c r="B133" s="112" t="s">
        <v>285</v>
      </c>
      <c r="C133" s="107"/>
      <c r="D133" s="113" t="s">
        <v>286</v>
      </c>
      <c r="E133" s="107"/>
      <c r="F133" s="107"/>
      <c r="G133" s="107"/>
      <c r="H133" s="107"/>
      <c r="I133" s="107"/>
      <c r="J133" s="107"/>
      <c r="K133" s="107"/>
      <c r="L133" s="107"/>
    </row>
    <row r="134" spans="2:12" x14ac:dyDescent="0.15"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</row>
    <row r="135" spans="2:12" x14ac:dyDescent="0.15">
      <c r="B135" s="114" t="s">
        <v>287</v>
      </c>
      <c r="C135" s="107"/>
      <c r="D135" s="115" t="str">
        <f>INDEX(ScenarioList,Scenario)</f>
        <v>Base case</v>
      </c>
      <c r="E135" s="107"/>
      <c r="F135" s="107"/>
      <c r="G135" s="107"/>
      <c r="H135" s="107"/>
      <c r="I135" s="107"/>
      <c r="J135" s="107"/>
      <c r="K135" s="107"/>
      <c r="L135" s="107"/>
    </row>
  </sheetData>
  <conditionalFormatting sqref="B23:L23">
    <cfRule type="expression" dxfId="29" priority="1">
      <formula>Scenario=1</formula>
    </cfRule>
  </conditionalFormatting>
  <conditionalFormatting sqref="B24:L24">
    <cfRule type="expression" dxfId="28" priority="2">
      <formula>Scenario=2</formula>
    </cfRule>
  </conditionalFormatting>
  <conditionalFormatting sqref="B25:L25">
    <cfRule type="expression" dxfId="27" priority="3">
      <formula>Scenario=3</formula>
    </cfRule>
  </conditionalFormatting>
  <conditionalFormatting sqref="B29:L29">
    <cfRule type="expression" dxfId="26" priority="4">
      <formula>Scenario=1</formula>
    </cfRule>
  </conditionalFormatting>
  <conditionalFormatting sqref="B30:L30">
    <cfRule type="expression" dxfId="25" priority="5">
      <formula>Scenario=2</formula>
    </cfRule>
  </conditionalFormatting>
  <conditionalFormatting sqref="B31:L31">
    <cfRule type="expression" dxfId="24" priority="6">
      <formula>Scenario=3</formula>
    </cfRule>
  </conditionalFormatting>
  <conditionalFormatting sqref="B35:L35">
    <cfRule type="expression" dxfId="23" priority="7">
      <formula>Scenario=1</formula>
    </cfRule>
  </conditionalFormatting>
  <conditionalFormatting sqref="B36:L36">
    <cfRule type="expression" dxfId="22" priority="8">
      <formula>Scenario=2</formula>
    </cfRule>
  </conditionalFormatting>
  <conditionalFormatting sqref="B37:L37">
    <cfRule type="expression" dxfId="21" priority="9">
      <formula>Scenario=3</formula>
    </cfRule>
  </conditionalFormatting>
  <conditionalFormatting sqref="B41:L41">
    <cfRule type="expression" dxfId="20" priority="10">
      <formula>Scenario=1</formula>
    </cfRule>
  </conditionalFormatting>
  <conditionalFormatting sqref="B42:L42">
    <cfRule type="expression" dxfId="19" priority="11">
      <formula>Scenario=2</formula>
    </cfRule>
  </conditionalFormatting>
  <conditionalFormatting sqref="B43:L43">
    <cfRule type="expression" dxfId="18" priority="12">
      <formula>Scenario=3</formula>
    </cfRule>
  </conditionalFormatting>
  <conditionalFormatting sqref="B52:L52">
    <cfRule type="expression" dxfId="17" priority="13">
      <formula>Scenario=1</formula>
    </cfRule>
  </conditionalFormatting>
  <conditionalFormatting sqref="B53:L53">
    <cfRule type="expression" dxfId="16" priority="14">
      <formula>Scenario=2</formula>
    </cfRule>
  </conditionalFormatting>
  <conditionalFormatting sqref="B54:L54">
    <cfRule type="expression" dxfId="15" priority="15">
      <formula>Scenario=3</formula>
    </cfRule>
  </conditionalFormatting>
  <conditionalFormatting sqref="B58:L58">
    <cfRule type="expression" dxfId="14" priority="16">
      <formula>Scenario=1</formula>
    </cfRule>
  </conditionalFormatting>
  <conditionalFormatting sqref="B59:L59">
    <cfRule type="expression" dxfId="13" priority="17">
      <formula>Scenario=2</formula>
    </cfRule>
  </conditionalFormatting>
  <conditionalFormatting sqref="B60:L60">
    <cfRule type="expression" dxfId="12" priority="18">
      <formula>Scenario=3</formula>
    </cfRule>
  </conditionalFormatting>
  <conditionalFormatting sqref="B72:L72">
    <cfRule type="expression" dxfId="11" priority="19">
      <formula>Scenario=1</formula>
    </cfRule>
  </conditionalFormatting>
  <conditionalFormatting sqref="B73:L73">
    <cfRule type="expression" dxfId="10" priority="20">
      <formula>Scenario=2</formula>
    </cfRule>
  </conditionalFormatting>
  <conditionalFormatting sqref="B74:L74">
    <cfRule type="expression" dxfId="9" priority="21">
      <formula>Scenario=3</formula>
    </cfRule>
  </conditionalFormatting>
  <conditionalFormatting sqref="B99:L99">
    <cfRule type="expression" dxfId="8" priority="22">
      <formula>Scenario=1</formula>
    </cfRule>
  </conditionalFormatting>
  <conditionalFormatting sqref="B100:L100">
    <cfRule type="expression" dxfId="7" priority="23">
      <formula>Scenario=2</formula>
    </cfRule>
  </conditionalFormatting>
  <conditionalFormatting sqref="B101:L101">
    <cfRule type="expression" dxfId="6" priority="24">
      <formula>Scenario=3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3">
              <controlPr defaultSize="0" autoLine="0" autoPict="0">
                <anchor moveWithCells="1">
                  <from>
                    <xdr:col>1</xdr:col>
                    <xdr:colOff>1206500</xdr:colOff>
                    <xdr:row>18</xdr:row>
                    <xdr:rowOff>12700</xdr:rowOff>
                  </from>
                  <to>
                    <xdr:col>1</xdr:col>
                    <xdr:colOff>2374900</xdr:colOff>
                    <xdr:row>18</xdr:row>
                    <xdr:rowOff>203200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66A5-FFC0-DB4E-AEAE-4A89D402465D}">
  <sheetPr>
    <outlinePr summaryBelow="0"/>
  </sheetPr>
  <dimension ref="A1:N342"/>
  <sheetViews>
    <sheetView showGridLines="0" zoomScaleNormal="10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baseColWidth="10" defaultColWidth="8.83203125" defaultRowHeight="13" outlineLevelRow="1" x14ac:dyDescent="0.15"/>
  <cols>
    <col min="1" max="1" width="2" customWidth="1"/>
    <col min="2" max="2" width="50" customWidth="1"/>
    <col min="3" max="3" width="8" customWidth="1"/>
    <col min="4" max="10" width="11" customWidth="1"/>
    <col min="11" max="11" width="11.83203125" customWidth="1"/>
    <col min="12" max="12" width="11" customWidth="1"/>
    <col min="13" max="13" width="2" customWidth="1"/>
    <col min="14" max="14" width="70" customWidth="1"/>
  </cols>
  <sheetData>
    <row r="1" spans="1:14" ht="26" customHeight="1" x14ac:dyDescent="0.1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15">
      <c r="B2" s="17" t="s">
        <v>1</v>
      </c>
      <c r="F2" s="53" t="s">
        <v>2</v>
      </c>
      <c r="G2" s="58" t="str">
        <f>ScenarioName</f>
        <v>Base case</v>
      </c>
      <c r="J2" s="24" t="s">
        <v>3</v>
      </c>
      <c r="L2" s="59" t="str">
        <f>ModelChecks</f>
        <v>OK</v>
      </c>
    </row>
    <row r="4" spans="1:14" x14ac:dyDescent="0.15">
      <c r="B4" s="18" t="s">
        <v>4</v>
      </c>
      <c r="D4" s="60">
        <f>FirstYear</f>
        <v>2022</v>
      </c>
      <c r="E4" s="25">
        <f t="shared" ref="E4:L4" si="0">D4+1</f>
        <v>2023</v>
      </c>
      <c r="F4" s="25">
        <f t="shared" si="0"/>
        <v>2024</v>
      </c>
      <c r="G4" s="25">
        <f t="shared" si="0"/>
        <v>2025</v>
      </c>
      <c r="H4" s="26">
        <f t="shared" si="0"/>
        <v>2026</v>
      </c>
      <c r="I4" s="26">
        <f t="shared" si="0"/>
        <v>2027</v>
      </c>
      <c r="J4" s="26">
        <f t="shared" si="0"/>
        <v>2028</v>
      </c>
      <c r="K4" s="26">
        <f t="shared" si="0"/>
        <v>2029</v>
      </c>
      <c r="L4" s="26">
        <f t="shared" si="0"/>
        <v>2030</v>
      </c>
    </row>
    <row r="5" spans="1:14" x14ac:dyDescent="0.15">
      <c r="B5" s="4" t="s">
        <v>5</v>
      </c>
      <c r="D5" s="27">
        <f t="shared" ref="D5:L5" si="1">DATE(D4,12,31)</f>
        <v>44926</v>
      </c>
      <c r="E5" s="27">
        <f t="shared" si="1"/>
        <v>45291</v>
      </c>
      <c r="F5" s="27">
        <f t="shared" si="1"/>
        <v>45657</v>
      </c>
      <c r="G5" s="27">
        <f t="shared" si="1"/>
        <v>46022</v>
      </c>
      <c r="H5" s="27">
        <f t="shared" si="1"/>
        <v>46387</v>
      </c>
      <c r="I5" s="27">
        <f t="shared" si="1"/>
        <v>46752</v>
      </c>
      <c r="J5" s="27">
        <f t="shared" si="1"/>
        <v>47118</v>
      </c>
      <c r="K5" s="27">
        <f t="shared" si="1"/>
        <v>47483</v>
      </c>
      <c r="L5" s="27">
        <f t="shared" si="1"/>
        <v>47848</v>
      </c>
    </row>
    <row r="6" spans="1:14" x14ac:dyDescent="0.15">
      <c r="B6" s="4" t="s">
        <v>6</v>
      </c>
      <c r="D6" s="28" t="str">
        <f t="shared" ref="D6:L6" si="2">IF(D$4&lt;=LastActual,"A","F")</f>
        <v>A</v>
      </c>
      <c r="E6" s="28" t="str">
        <f t="shared" si="2"/>
        <v>A</v>
      </c>
      <c r="F6" s="28" t="str">
        <f t="shared" si="2"/>
        <v>A</v>
      </c>
      <c r="G6" s="28" t="str">
        <f t="shared" si="2"/>
        <v>A</v>
      </c>
      <c r="H6" s="28" t="str">
        <f t="shared" si="2"/>
        <v>F</v>
      </c>
      <c r="I6" s="28" t="str">
        <f t="shared" si="2"/>
        <v>F</v>
      </c>
      <c r="J6" s="28" t="str">
        <f t="shared" si="2"/>
        <v>F</v>
      </c>
      <c r="K6" s="28" t="str">
        <f t="shared" si="2"/>
        <v>F</v>
      </c>
      <c r="L6" s="28" t="str">
        <f t="shared" si="2"/>
        <v>F</v>
      </c>
    </row>
    <row r="8" spans="1:14" ht="18" customHeight="1" x14ac:dyDescent="0.15">
      <c r="B8" s="5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1:14" outlineLevel="1" x14ac:dyDescent="0.15">
      <c r="B9" s="17" t="s">
        <v>8</v>
      </c>
      <c r="D9" s="29">
        <f t="shared" ref="D9:L9" si="3">D$4</f>
        <v>2022</v>
      </c>
      <c r="E9" s="29">
        <f t="shared" si="3"/>
        <v>2023</v>
      </c>
      <c r="F9" s="29">
        <f t="shared" si="3"/>
        <v>2024</v>
      </c>
      <c r="G9" s="29">
        <f t="shared" si="3"/>
        <v>2025</v>
      </c>
      <c r="H9" s="23">
        <f t="shared" si="3"/>
        <v>2026</v>
      </c>
      <c r="I9" s="23">
        <f t="shared" si="3"/>
        <v>2027</v>
      </c>
      <c r="J9" s="23">
        <f t="shared" si="3"/>
        <v>2028</v>
      </c>
      <c r="K9" s="23">
        <f t="shared" si="3"/>
        <v>2029</v>
      </c>
      <c r="L9" s="23">
        <f t="shared" si="3"/>
        <v>2030</v>
      </c>
    </row>
    <row r="10" spans="1:14" outlineLevel="1" x14ac:dyDescent="0.15">
      <c r="B10" s="30" t="s">
        <v>9</v>
      </c>
    </row>
    <row r="11" spans="1:14" outlineLevel="1" x14ac:dyDescent="0.15">
      <c r="B11" s="8" t="s">
        <v>10</v>
      </c>
      <c r="D11" s="192">
        <f>Hist!D149</f>
        <v>5735.8540000000003</v>
      </c>
      <c r="E11" s="192">
        <f>Hist!E149</f>
        <v>6314.7070000000003</v>
      </c>
      <c r="F11" s="192">
        <f>Hist!F149</f>
        <v>7015.5969999999998</v>
      </c>
      <c r="G11" s="192">
        <f>Hist!G149</f>
        <v>6542.5219999999999</v>
      </c>
      <c r="H11" s="192">
        <f>G11*(1+Inputs!H26)</f>
        <v>7196.7742000000007</v>
      </c>
      <c r="I11" s="192">
        <f>H11*(1+Inputs!I26)</f>
        <v>7484.6451680000009</v>
      </c>
      <c r="J11" s="192">
        <f>I11*(1+Inputs!J26)</f>
        <v>7746.6077488800001</v>
      </c>
      <c r="K11" s="192">
        <f>J11*(1+Inputs!K26)</f>
        <v>7979.0059813464004</v>
      </c>
      <c r="L11" s="192">
        <f>K11*(1+Inputs!L26)</f>
        <v>8218.3761607867928</v>
      </c>
    </row>
    <row r="12" spans="1:14" outlineLevel="1" x14ac:dyDescent="0.15">
      <c r="B12" s="8" t="s">
        <v>11</v>
      </c>
      <c r="D12" s="192">
        <f>Hist!D150</f>
        <v>1413.4829999999999</v>
      </c>
      <c r="E12" s="192">
        <f>Hist!E150</f>
        <v>1514.8920000000001</v>
      </c>
      <c r="F12" s="192">
        <f>Hist!F150</f>
        <v>1683.172</v>
      </c>
      <c r="G12" s="192">
        <f>Hist!G150</f>
        <v>1652.173</v>
      </c>
      <c r="H12" s="192">
        <f>G12*(1+Inputs!H32)</f>
        <v>1685.2164600000001</v>
      </c>
      <c r="I12" s="192">
        <f>H12*(1+Inputs!I32)</f>
        <v>1735.7729538000001</v>
      </c>
      <c r="J12" s="192">
        <f>I12*(1+Inputs!J32)</f>
        <v>1787.846142414</v>
      </c>
      <c r="K12" s="192">
        <f>J12*(1+Inputs!K32)</f>
        <v>1841.48152668642</v>
      </c>
      <c r="L12" s="192">
        <f>K12*(1+Inputs!L32)</f>
        <v>1887.5185648535803</v>
      </c>
    </row>
    <row r="13" spans="1:14" outlineLevel="1" x14ac:dyDescent="0.15">
      <c r="B13" s="8" t="s">
        <v>12</v>
      </c>
      <c r="D13" s="192">
        <f>Hist!D151</f>
        <v>876.84799999999996</v>
      </c>
      <c r="E13" s="192">
        <f>Hist!E151</f>
        <v>1026.9179999999999</v>
      </c>
      <c r="F13" s="192">
        <f>Hist!F151</f>
        <v>1230.5329999999999</v>
      </c>
      <c r="G13" s="192">
        <f>Hist!G151</f>
        <v>1420.817</v>
      </c>
      <c r="H13" s="192">
        <f>G13*(1+Inputs!H38)</f>
        <v>1676.5640599999999</v>
      </c>
      <c r="I13" s="192">
        <f>H13*(1+Inputs!I38)</f>
        <v>1844.220466</v>
      </c>
      <c r="J13" s="192">
        <f>I13*(1+Inputs!J38)</f>
        <v>1991.7581032800001</v>
      </c>
      <c r="K13" s="192">
        <f>J13*(1+Inputs!K38)</f>
        <v>2131.1811705096002</v>
      </c>
      <c r="L13" s="192">
        <f>K13*(1+Inputs!L38)</f>
        <v>2259.0520407401764</v>
      </c>
    </row>
    <row r="14" spans="1:14" outlineLevel="1" x14ac:dyDescent="0.15">
      <c r="B14" s="8" t="s">
        <v>13</v>
      </c>
      <c r="D14" s="192">
        <f>Hist!D152</f>
        <v>0</v>
      </c>
      <c r="E14" s="192">
        <f>Hist!E152</f>
        <v>0</v>
      </c>
      <c r="F14" s="192">
        <f>Hist!F152</f>
        <v>1400.375</v>
      </c>
      <c r="G14" s="192">
        <f>Hist!G152</f>
        <v>1479.289</v>
      </c>
      <c r="H14" s="192">
        <f>G14*(1+Inputs!H44)</f>
        <v>1420.11744</v>
      </c>
      <c r="I14" s="192">
        <f>H14*(1+Inputs!I44)</f>
        <v>1441.4192016</v>
      </c>
      <c r="J14" s="192">
        <f>I14*(1+Inputs!J44)</f>
        <v>1470.247585632</v>
      </c>
      <c r="K14" s="192">
        <f>J14*(1+Inputs!K44)</f>
        <v>1499.65253734464</v>
      </c>
      <c r="L14" s="192">
        <f>K14*(1+Inputs!L44)</f>
        <v>1529.6455880915328</v>
      </c>
      <c r="N14" s="17"/>
    </row>
    <row r="15" spans="1:14" outlineLevel="1" x14ac:dyDescent="0.15">
      <c r="B15" s="8" t="s">
        <v>14</v>
      </c>
      <c r="D15" s="192">
        <f>Hist!D153</f>
        <v>-150.90100000000001</v>
      </c>
      <c r="E15" s="192">
        <f>Hist!E153</f>
        <v>-166.41399999999999</v>
      </c>
      <c r="F15" s="192">
        <f>Hist!F153</f>
        <v>-247.72399999999999</v>
      </c>
      <c r="G15" s="192">
        <f>Hist!G153</f>
        <v>-340.47300000000001</v>
      </c>
      <c r="H15" s="192">
        <f>Inputs!H47*SUM(H11:H14)</f>
        <v>-479.14688640000008</v>
      </c>
      <c r="I15" s="192">
        <f>Inputs!I47*SUM(I11:I14)</f>
        <v>-500.24231157600008</v>
      </c>
      <c r="J15" s="192">
        <f>Inputs!J47*SUM(J11:J14)</f>
        <v>-519.85838320824007</v>
      </c>
      <c r="K15" s="192">
        <f>Inputs!K47*SUM(K11:K14)</f>
        <v>-538.05284863548241</v>
      </c>
      <c r="L15" s="192">
        <f>Inputs!L47*SUM(L11:L14)</f>
        <v>-555.78369417888337</v>
      </c>
      <c r="N15" s="17"/>
    </row>
    <row r="16" spans="1:14" outlineLevel="1" x14ac:dyDescent="0.15">
      <c r="B16" s="22" t="s">
        <v>15</v>
      </c>
      <c r="D16" s="193">
        <f>SUM(D11:D15)</f>
        <v>7875.2840000000006</v>
      </c>
      <c r="E16" s="193">
        <f t="shared" ref="E16:L16" si="4">SUM(E11:E15)</f>
        <v>8690.1029999999992</v>
      </c>
      <c r="F16" s="193">
        <f t="shared" si="4"/>
        <v>11081.953</v>
      </c>
      <c r="G16" s="193">
        <f t="shared" si="4"/>
        <v>10754.328</v>
      </c>
      <c r="H16" s="194">
        <f t="shared" si="4"/>
        <v>11499.525273600002</v>
      </c>
      <c r="I16" s="194">
        <f t="shared" si="4"/>
        <v>12005.815477824002</v>
      </c>
      <c r="J16" s="194">
        <f t="shared" si="4"/>
        <v>12476.601196997761</v>
      </c>
      <c r="K16" s="194">
        <f t="shared" si="4"/>
        <v>12913.268367251578</v>
      </c>
      <c r="L16" s="194">
        <f t="shared" si="4"/>
        <v>13338.8086602932</v>
      </c>
    </row>
    <row r="17" spans="2:14" outlineLevel="1" x14ac:dyDescent="0.15">
      <c r="B17" s="31"/>
      <c r="D17" s="195"/>
      <c r="E17" s="195"/>
      <c r="F17" s="195"/>
      <c r="G17" s="195"/>
      <c r="H17" s="195"/>
      <c r="I17" s="195"/>
      <c r="J17" s="195"/>
      <c r="K17" s="195"/>
      <c r="L17" s="195"/>
    </row>
    <row r="18" spans="2:14" outlineLevel="1" x14ac:dyDescent="0.15">
      <c r="B18" s="61" t="s">
        <v>16</v>
      </c>
      <c r="H18" s="62">
        <f>(H16-Hist!E301)/(G16-Hist!D301)-1</f>
        <v>4.0113923998128964E-2</v>
      </c>
      <c r="N18" s="63"/>
    </row>
    <row r="19" spans="2:14" outlineLevel="1" x14ac:dyDescent="0.15">
      <c r="B19" s="30" t="s">
        <v>17</v>
      </c>
    </row>
    <row r="20" spans="2:14" outlineLevel="1" x14ac:dyDescent="0.15">
      <c r="B20" s="8" t="s">
        <v>10</v>
      </c>
      <c r="E20" s="32">
        <f>IF(D11=0,"n.m.",E11/D11-1)</f>
        <v>0.10091836368219975</v>
      </c>
      <c r="F20" s="32">
        <f t="shared" ref="E20:L23" si="5">IF(E11=0,"n.m.",F11/E11-1)</f>
        <v>0.11099327332210329</v>
      </c>
      <c r="G20" s="32">
        <f t="shared" si="5"/>
        <v>-6.7431894962039607E-2</v>
      </c>
      <c r="H20" s="32">
        <f t="shared" si="5"/>
        <v>0.10000000000000009</v>
      </c>
      <c r="I20" s="32">
        <f t="shared" si="5"/>
        <v>4.0000000000000036E-2</v>
      </c>
      <c r="J20" s="32">
        <f t="shared" si="5"/>
        <v>3.499999999999992E-2</v>
      </c>
      <c r="K20" s="32">
        <f t="shared" si="5"/>
        <v>3.0000000000000027E-2</v>
      </c>
      <c r="L20" s="32">
        <f t="shared" si="5"/>
        <v>3.0000000000000027E-2</v>
      </c>
    </row>
    <row r="21" spans="2:14" outlineLevel="1" x14ac:dyDescent="0.15">
      <c r="B21" s="8" t="s">
        <v>11</v>
      </c>
      <c r="E21" s="32">
        <f>IF(D12=0,"n.m.",E12/D12-1)</f>
        <v>7.1744053518860929E-2</v>
      </c>
      <c r="F21" s="32">
        <f t="shared" si="5"/>
        <v>0.11108382643779224</v>
      </c>
      <c r="G21" s="32">
        <f t="shared" si="5"/>
        <v>-1.8417012640419395E-2</v>
      </c>
      <c r="H21" s="32">
        <f t="shared" si="5"/>
        <v>2.0000000000000018E-2</v>
      </c>
      <c r="I21" s="32">
        <f t="shared" si="5"/>
        <v>3.0000000000000027E-2</v>
      </c>
      <c r="J21" s="32">
        <f t="shared" si="5"/>
        <v>3.0000000000000027E-2</v>
      </c>
      <c r="K21" s="32">
        <f t="shared" si="5"/>
        <v>3.0000000000000027E-2</v>
      </c>
      <c r="L21" s="32">
        <f t="shared" si="5"/>
        <v>2.4999999999999911E-2</v>
      </c>
    </row>
    <row r="22" spans="2:14" outlineLevel="1" x14ac:dyDescent="0.15">
      <c r="B22" s="8" t="s">
        <v>12</v>
      </c>
      <c r="E22" s="32">
        <f t="shared" si="5"/>
        <v>0.17114710873492323</v>
      </c>
      <c r="F22" s="32">
        <f t="shared" si="5"/>
        <v>0.19827775927581359</v>
      </c>
      <c r="G22" s="32">
        <f t="shared" si="5"/>
        <v>0.1546354303379105</v>
      </c>
      <c r="H22" s="32">
        <f t="shared" si="5"/>
        <v>0.17999999999999994</v>
      </c>
      <c r="I22" s="32">
        <f t="shared" si="5"/>
        <v>0.10000000000000009</v>
      </c>
      <c r="J22" s="32">
        <f t="shared" si="5"/>
        <v>8.0000000000000071E-2</v>
      </c>
      <c r="K22" s="32">
        <f t="shared" si="5"/>
        <v>7.0000000000000062E-2</v>
      </c>
      <c r="L22" s="32">
        <f t="shared" si="5"/>
        <v>6.0000000000000053E-2</v>
      </c>
    </row>
    <row r="23" spans="2:14" outlineLevel="1" x14ac:dyDescent="0.15">
      <c r="B23" s="8" t="s">
        <v>13</v>
      </c>
      <c r="E23" s="32" t="str">
        <f t="shared" si="5"/>
        <v>n.m.</v>
      </c>
      <c r="F23" s="32" t="str">
        <f>IF(E14=0,"n.m.",F14/E14-1)</f>
        <v>n.m.</v>
      </c>
      <c r="G23" s="32">
        <f t="shared" si="5"/>
        <v>5.6352048558421908E-2</v>
      </c>
      <c r="H23" s="32">
        <f t="shared" si="5"/>
        <v>-4.0000000000000036E-2</v>
      </c>
      <c r="I23" s="32">
        <f t="shared" si="5"/>
        <v>1.4999999999999902E-2</v>
      </c>
      <c r="J23" s="32">
        <f t="shared" si="5"/>
        <v>2.0000000000000018E-2</v>
      </c>
      <c r="K23" s="32">
        <f t="shared" si="5"/>
        <v>2.0000000000000018E-2</v>
      </c>
      <c r="L23" s="32">
        <f t="shared" si="5"/>
        <v>2.0000000000000018E-2</v>
      </c>
      <c r="N23" s="17"/>
    </row>
    <row r="24" spans="2:14" outlineLevel="1" x14ac:dyDescent="0.15">
      <c r="B24" s="22" t="s">
        <v>15</v>
      </c>
      <c r="E24" s="33">
        <f t="shared" ref="E24:L24" si="6">IF(D16=0,"n.m.",E16/D16-1)</f>
        <v>0.10346534804332119</v>
      </c>
      <c r="F24" s="33">
        <f t="shared" si="6"/>
        <v>0.27523839475780676</v>
      </c>
      <c r="G24" s="33">
        <f t="shared" si="6"/>
        <v>-2.9563832295625203E-2</v>
      </c>
      <c r="H24" s="33">
        <f t="shared" si="6"/>
        <v>6.9292779018828687E-2</v>
      </c>
      <c r="I24" s="33">
        <f t="shared" si="6"/>
        <v>4.4027052611146811E-2</v>
      </c>
      <c r="J24" s="33">
        <f t="shared" si="6"/>
        <v>3.9213139669133534E-2</v>
      </c>
      <c r="K24" s="33">
        <f t="shared" si="6"/>
        <v>3.4998888187505184E-2</v>
      </c>
      <c r="L24" s="33">
        <f t="shared" si="6"/>
        <v>3.295372487733661E-2</v>
      </c>
    </row>
    <row r="25" spans="2:14" outlineLevel="1" x14ac:dyDescent="0.15">
      <c r="B25" s="8" t="s">
        <v>18</v>
      </c>
      <c r="D25" s="32">
        <f t="shared" ref="D25:L25" si="7">D15/SUM(D11:D14)</f>
        <v>-1.8801086693117589E-2</v>
      </c>
      <c r="E25" s="32">
        <f>E15/SUM(E11:E14)</f>
        <v>-1.8790005145363577E-2</v>
      </c>
      <c r="F25" s="32">
        <f t="shared" si="7"/>
        <v>-2.1865054052291163E-2</v>
      </c>
      <c r="G25" s="32">
        <f t="shared" si="7"/>
        <v>-3.0687616659370458E-2</v>
      </c>
      <c r="H25" s="32">
        <f t="shared" si="7"/>
        <v>-0.04</v>
      </c>
      <c r="I25" s="32">
        <f t="shared" si="7"/>
        <v>-0.04</v>
      </c>
      <c r="J25" s="32">
        <f t="shared" si="7"/>
        <v>-0.04</v>
      </c>
      <c r="K25" s="32">
        <f t="shared" si="7"/>
        <v>-3.9999999999999994E-2</v>
      </c>
      <c r="L25" s="32">
        <f t="shared" si="7"/>
        <v>-0.04</v>
      </c>
    </row>
    <row r="27" spans="2:14" ht="18" customHeight="1" x14ac:dyDescent="0.15">
      <c r="B27" s="5" t="s">
        <v>19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2:14" outlineLevel="1" x14ac:dyDescent="0.15">
      <c r="B28" s="17" t="s">
        <v>8</v>
      </c>
      <c r="D28" s="29">
        <f t="shared" ref="D28:L28" si="8">D$4</f>
        <v>2022</v>
      </c>
      <c r="E28" s="29">
        <f t="shared" si="8"/>
        <v>2023</v>
      </c>
      <c r="F28" s="29">
        <f t="shared" si="8"/>
        <v>2024</v>
      </c>
      <c r="G28" s="29">
        <f t="shared" si="8"/>
        <v>2025</v>
      </c>
      <c r="H28" s="23">
        <f t="shared" si="8"/>
        <v>2026</v>
      </c>
      <c r="I28" s="23">
        <f t="shared" si="8"/>
        <v>2027</v>
      </c>
      <c r="J28" s="23">
        <f t="shared" si="8"/>
        <v>2028</v>
      </c>
      <c r="K28" s="23">
        <f t="shared" si="8"/>
        <v>2029</v>
      </c>
      <c r="L28" s="23">
        <f t="shared" si="8"/>
        <v>2030</v>
      </c>
    </row>
    <row r="29" spans="2:14" outlineLevel="1" x14ac:dyDescent="0.15">
      <c r="B29" s="8" t="s">
        <v>15</v>
      </c>
      <c r="D29" s="196">
        <f t="shared" ref="D29:L29" si="9">D16</f>
        <v>7875.2840000000006</v>
      </c>
      <c r="E29" s="196">
        <f t="shared" si="9"/>
        <v>8690.1029999999992</v>
      </c>
      <c r="F29" s="196">
        <f t="shared" si="9"/>
        <v>11081.953</v>
      </c>
      <c r="G29" s="196">
        <f t="shared" si="9"/>
        <v>10754.328</v>
      </c>
      <c r="H29" s="197">
        <f t="shared" si="9"/>
        <v>11499.525273600002</v>
      </c>
      <c r="I29" s="197">
        <f t="shared" si="9"/>
        <v>12005.815477824002</v>
      </c>
      <c r="J29" s="197">
        <f t="shared" si="9"/>
        <v>12476.601196997761</v>
      </c>
      <c r="K29" s="197">
        <f t="shared" si="9"/>
        <v>12913.268367251578</v>
      </c>
      <c r="L29" s="197">
        <f t="shared" si="9"/>
        <v>13338.8086602932</v>
      </c>
    </row>
    <row r="30" spans="2:14" outlineLevel="1" x14ac:dyDescent="0.15">
      <c r="B30" s="8" t="s">
        <v>20</v>
      </c>
      <c r="D30" s="192">
        <f>-Hist!D220</f>
        <v>-3792.3470000000002</v>
      </c>
      <c r="E30" s="192">
        <f>-Hist!E220</f>
        <v>-3892.998</v>
      </c>
      <c r="F30" s="192">
        <f>-Hist!F220</f>
        <v>-4687.8509999999997</v>
      </c>
      <c r="G30" s="192">
        <f>-Hist!G220</f>
        <v>-4284.3209999999999</v>
      </c>
      <c r="H30" s="197">
        <f>-H$29*Inputs!H55</f>
        <v>-4588.310584166401</v>
      </c>
      <c r="I30" s="197">
        <f>-I$29*Inputs!I55</f>
        <v>-4838.3436375630736</v>
      </c>
      <c r="J30" s="197">
        <f>-J$29*Inputs!J55</f>
        <v>-5028.0702823900983</v>
      </c>
      <c r="K30" s="197">
        <f>-K$29*Inputs!K55</f>
        <v>-5204.0471520023857</v>
      </c>
      <c r="L30" s="197">
        <f>-L$29*Inputs!L55</f>
        <v>-5375.53989009816</v>
      </c>
    </row>
    <row r="31" spans="2:14" outlineLevel="1" x14ac:dyDescent="0.15">
      <c r="B31" s="8" t="s">
        <v>21</v>
      </c>
      <c r="D31" s="192">
        <f>-Hist!D219</f>
        <v>-1509.9110000000001</v>
      </c>
      <c r="E31" s="192">
        <f>-Hist!E219</f>
        <v>-1817.8510000000001</v>
      </c>
      <c r="F31" s="192">
        <f>-Hist!F219</f>
        <v>-2340.944</v>
      </c>
      <c r="G31" s="192">
        <f>-Hist!G219</f>
        <v>-2302.7359999999999</v>
      </c>
      <c r="H31" s="197">
        <f>-H$29*Inputs!H61</f>
        <v>-2564.3941360128006</v>
      </c>
      <c r="I31" s="197">
        <f>-I$29*Inputs!I61</f>
        <v>-2665.2910360769283</v>
      </c>
      <c r="J31" s="197">
        <f>-J$29*Inputs!J61</f>
        <v>-2757.3288645365051</v>
      </c>
      <c r="K31" s="197">
        <f>-K$29*Inputs!K61</f>
        <v>-2840.919040795347</v>
      </c>
      <c r="L31" s="197">
        <f>-L$29*Inputs!L61</f>
        <v>-2934.5379052645039</v>
      </c>
      <c r="N31" s="17"/>
    </row>
    <row r="32" spans="2:14" outlineLevel="1" x14ac:dyDescent="0.15">
      <c r="B32" s="8" t="s">
        <v>22</v>
      </c>
      <c r="D32" s="192">
        <f>-Hist!D221</f>
        <v>-1373.2239999999999</v>
      </c>
      <c r="E32" s="192">
        <f>-Hist!E221</f>
        <v>-1528.9770000000001</v>
      </c>
      <c r="F32" s="192">
        <f>-Hist!F221</f>
        <v>-2027.972</v>
      </c>
      <c r="G32" s="192">
        <f>-Hist!G221</f>
        <v>-2031.106</v>
      </c>
      <c r="H32" s="197">
        <f>-H$29*Inputs!H64</f>
        <v>-2184.9098019840003</v>
      </c>
      <c r="I32" s="197">
        <f>-I$29*Inputs!I64</f>
        <v>-2281.1049407865603</v>
      </c>
      <c r="J32" s="197">
        <f>-J$29*Inputs!J64</f>
        <v>-2370.5542274295744</v>
      </c>
      <c r="K32" s="197">
        <f>-K$29*Inputs!K64</f>
        <v>-2453.5209897778</v>
      </c>
      <c r="L32" s="197">
        <f>-L$29*Inputs!L64</f>
        <v>-2534.3736454557079</v>
      </c>
    </row>
    <row r="33" spans="2:14" outlineLevel="1" x14ac:dyDescent="0.15">
      <c r="B33" s="8" t="s">
        <v>23</v>
      </c>
      <c r="D33" s="192">
        <f>-SUM(Hist!D222:D228)</f>
        <v>-107.233</v>
      </c>
      <c r="E33" s="192">
        <f>-SUM(Hist!E222:E228)</f>
        <v>-223.268</v>
      </c>
      <c r="F33" s="192">
        <f>-SUM(Hist!F222:F228)</f>
        <v>-213.16499999999999</v>
      </c>
      <c r="G33" s="192">
        <f>-SUM(Hist!G222:G228)</f>
        <v>-259.45600000000002</v>
      </c>
      <c r="H33" s="197">
        <f>-H$29*Inputs!H65</f>
        <v>-275.98860656640005</v>
      </c>
      <c r="I33" s="197">
        <f>-I$29*Inputs!I65</f>
        <v>-288.13957146777608</v>
      </c>
      <c r="J33" s="197">
        <f>-J$29*Inputs!J65</f>
        <v>-299.43842872794625</v>
      </c>
      <c r="K33" s="197">
        <f>-K$29*Inputs!K65</f>
        <v>-309.91844081403787</v>
      </c>
      <c r="L33" s="197">
        <f>-L$29*Inputs!L65</f>
        <v>-320.13140784703683</v>
      </c>
      <c r="N33" s="17"/>
    </row>
    <row r="34" spans="2:14" outlineLevel="1" x14ac:dyDescent="0.15">
      <c r="B34" s="8" t="s">
        <v>24</v>
      </c>
      <c r="D34" s="192">
        <f>Hist!D12</f>
        <v>47.857999999999997</v>
      </c>
      <c r="E34" s="192">
        <f>Hist!E12</f>
        <v>89.917000000000002</v>
      </c>
      <c r="F34" s="192">
        <f>Hist!F12</f>
        <v>271.88900000000001</v>
      </c>
      <c r="G34" s="192">
        <f>Hist!G12</f>
        <v>152.16399999999999</v>
      </c>
      <c r="H34" s="197">
        <f>H$29*Inputs!H66</f>
        <v>0</v>
      </c>
      <c r="I34" s="197">
        <f>I$29*Inputs!I66</f>
        <v>0</v>
      </c>
      <c r="J34" s="197">
        <f>J$29*Inputs!J66</f>
        <v>0</v>
      </c>
      <c r="K34" s="197">
        <f>K$29*Inputs!K66</f>
        <v>0</v>
      </c>
      <c r="L34" s="197">
        <f>L$29*Inputs!L66</f>
        <v>0</v>
      </c>
      <c r="N34" s="76"/>
    </row>
    <row r="35" spans="2:14" outlineLevel="1" x14ac:dyDescent="0.15">
      <c r="B35" s="8" t="s">
        <v>25</v>
      </c>
      <c r="D35" s="192">
        <f>Hist!D13-Hist!D230</f>
        <v>-71.691000000000003</v>
      </c>
      <c r="E35" s="192">
        <f>Hist!E13-Hist!E230</f>
        <v>-29.301999999999996</v>
      </c>
      <c r="F35" s="192">
        <f>Hist!F13-Hist!F230</f>
        <v>-166.779</v>
      </c>
      <c r="G35" s="192">
        <f>Hist!G13-Hist!G230</f>
        <v>-103.646</v>
      </c>
      <c r="H35" s="197">
        <f>0</f>
        <v>0</v>
      </c>
      <c r="I35" s="197">
        <f>0</f>
        <v>0</v>
      </c>
      <c r="J35" s="197">
        <f>0</f>
        <v>0</v>
      </c>
      <c r="K35" s="197">
        <f>0</f>
        <v>0</v>
      </c>
      <c r="L35" s="197">
        <f>0</f>
        <v>0</v>
      </c>
      <c r="N35" s="17"/>
    </row>
    <row r="36" spans="2:14" outlineLevel="1" x14ac:dyDescent="0.15">
      <c r="B36" s="22" t="s">
        <v>26</v>
      </c>
      <c r="D36" s="193">
        <f t="shared" ref="D36:L36" si="10">SUM(D29:D35)</f>
        <v>1068.7360000000003</v>
      </c>
      <c r="E36" s="193">
        <f t="shared" si="10"/>
        <v>1287.6239999999993</v>
      </c>
      <c r="F36" s="193">
        <f t="shared" si="10"/>
        <v>1917.1309999999999</v>
      </c>
      <c r="G36" s="193">
        <f t="shared" si="10"/>
        <v>1925.2269999999999</v>
      </c>
      <c r="H36" s="198">
        <f t="shared" si="10"/>
        <v>1885.9221448704006</v>
      </c>
      <c r="I36" s="198">
        <f t="shared" si="10"/>
        <v>1932.9362919296641</v>
      </c>
      <c r="J36" s="198">
        <f t="shared" si="10"/>
        <v>2021.2093939136362</v>
      </c>
      <c r="K36" s="198">
        <f t="shared" si="10"/>
        <v>2104.8627438620078</v>
      </c>
      <c r="L36" s="198">
        <f t="shared" si="10"/>
        <v>2174.2258116277912</v>
      </c>
    </row>
    <row r="37" spans="2:14" outlineLevel="1" x14ac:dyDescent="0.15">
      <c r="B37" s="8" t="s">
        <v>27</v>
      </c>
      <c r="D37" s="192">
        <f>Hist!D34</f>
        <v>41.695</v>
      </c>
      <c r="E37" s="192">
        <f>Hist!E34</f>
        <v>-34.22</v>
      </c>
      <c r="F37" s="192">
        <f>Hist!F34</f>
        <v>-66.138000000000005</v>
      </c>
      <c r="G37" s="192">
        <f>Hist!G34</f>
        <v>-108.78400000000001</v>
      </c>
      <c r="H37" s="197">
        <f>0</f>
        <v>0</v>
      </c>
      <c r="I37" s="197">
        <f>0</f>
        <v>0</v>
      </c>
      <c r="J37" s="197">
        <f>0</f>
        <v>0</v>
      </c>
      <c r="K37" s="197">
        <f>0</f>
        <v>0</v>
      </c>
      <c r="L37" s="197">
        <f>0</f>
        <v>0</v>
      </c>
      <c r="N37" s="17"/>
    </row>
    <row r="38" spans="2:14" outlineLevel="1" x14ac:dyDescent="0.15">
      <c r="B38" s="22" t="s">
        <v>28</v>
      </c>
      <c r="D38" s="193">
        <f t="shared" ref="D38:L38" si="11">D36+D37</f>
        <v>1110.4310000000003</v>
      </c>
      <c r="E38" s="193">
        <f t="shared" si="11"/>
        <v>1253.4039999999993</v>
      </c>
      <c r="F38" s="193">
        <f t="shared" si="11"/>
        <v>1850.9929999999999</v>
      </c>
      <c r="G38" s="193">
        <f t="shared" si="11"/>
        <v>1816.4429999999998</v>
      </c>
      <c r="H38" s="198">
        <f t="shared" si="11"/>
        <v>1885.9221448704006</v>
      </c>
      <c r="I38" s="198">
        <f t="shared" si="11"/>
        <v>1932.9362919296641</v>
      </c>
      <c r="J38" s="198">
        <f t="shared" si="11"/>
        <v>2021.2093939136362</v>
      </c>
      <c r="K38" s="198">
        <f t="shared" si="11"/>
        <v>2104.8627438620078</v>
      </c>
      <c r="L38" s="198">
        <f t="shared" si="11"/>
        <v>2174.2258116277912</v>
      </c>
    </row>
    <row r="39" spans="2:14" outlineLevel="1" x14ac:dyDescent="0.15">
      <c r="B39" s="31" t="s">
        <v>29</v>
      </c>
      <c r="D39" s="195">
        <f>ROUND(D36-(Hist!D36+Hist!D94),1)</f>
        <v>0</v>
      </c>
      <c r="E39" s="195">
        <f>ROUND(E36-(Hist!E36+Hist!E94),1)</f>
        <v>0</v>
      </c>
      <c r="F39" s="195">
        <f>ROUND(F36-(Hist!F36+Hist!F94),1)</f>
        <v>0</v>
      </c>
      <c r="G39" s="195">
        <f>ROUND(G36-(Hist!G36+Hist!G94),1)</f>
        <v>0</v>
      </c>
    </row>
    <row r="40" spans="2:14" outlineLevel="1" x14ac:dyDescent="0.15">
      <c r="B40" s="31" t="s">
        <v>677</v>
      </c>
      <c r="D40" s="195"/>
      <c r="E40" s="195"/>
      <c r="F40" s="195"/>
      <c r="G40" s="195"/>
      <c r="H40" s="195">
        <f>IF(AND(H38&gt;=GuideLow,H38&lt;=GuideHigh),0,1)</f>
        <v>0</v>
      </c>
    </row>
    <row r="41" spans="2:14" outlineLevel="1" x14ac:dyDescent="0.15">
      <c r="B41" s="61" t="s">
        <v>737</v>
      </c>
      <c r="H41" s="62">
        <f>(H38-Hist!E323)/(G38-Hist!D323)-1</f>
        <v>-3.3561155001679555E-2</v>
      </c>
      <c r="N41" s="63"/>
    </row>
    <row r="42" spans="2:14" outlineLevel="1" x14ac:dyDescent="0.15">
      <c r="B42" s="30" t="s">
        <v>30</v>
      </c>
    </row>
    <row r="43" spans="2:14" outlineLevel="1" x14ac:dyDescent="0.15">
      <c r="B43" s="8" t="s">
        <v>31</v>
      </c>
      <c r="D43" s="32">
        <f t="shared" ref="D43:L43" si="12">-D30/D29</f>
        <v>0.48155050662299925</v>
      </c>
      <c r="E43" s="32">
        <f t="shared" si="12"/>
        <v>0.44798065109239793</v>
      </c>
      <c r="F43" s="32">
        <f t="shared" si="12"/>
        <v>0.42301668307021334</v>
      </c>
      <c r="G43" s="32">
        <f t="shared" si="12"/>
        <v>0.39838109828898655</v>
      </c>
      <c r="H43" s="64">
        <f t="shared" si="12"/>
        <v>0.39900000000000002</v>
      </c>
      <c r="I43" s="64">
        <f t="shared" si="12"/>
        <v>0.40300000000000008</v>
      </c>
      <c r="J43" s="64">
        <f t="shared" si="12"/>
        <v>0.40300000000000008</v>
      </c>
      <c r="K43" s="64">
        <f t="shared" si="12"/>
        <v>0.40299999999999997</v>
      </c>
      <c r="L43" s="64">
        <f t="shared" si="12"/>
        <v>0.40300000000000002</v>
      </c>
    </row>
    <row r="44" spans="2:14" outlineLevel="1" x14ac:dyDescent="0.15">
      <c r="B44" s="8" t="s">
        <v>21</v>
      </c>
      <c r="D44" s="32">
        <f t="shared" ref="D44:L44" si="13">-D31/D29</f>
        <v>0.19172781578416728</v>
      </c>
      <c r="E44" s="32">
        <f t="shared" si="13"/>
        <v>0.20918635832049404</v>
      </c>
      <c r="F44" s="32">
        <f t="shared" si="13"/>
        <v>0.21123930050957626</v>
      </c>
      <c r="G44" s="32">
        <f t="shared" si="13"/>
        <v>0.21412179356999339</v>
      </c>
      <c r="H44" s="64">
        <f t="shared" si="13"/>
        <v>0.223</v>
      </c>
      <c r="I44" s="64">
        <f t="shared" si="13"/>
        <v>0.22199999999999998</v>
      </c>
      <c r="J44" s="64">
        <f t="shared" si="13"/>
        <v>0.221</v>
      </c>
      <c r="K44" s="64">
        <f t="shared" si="13"/>
        <v>0.22</v>
      </c>
      <c r="L44" s="64">
        <f t="shared" si="13"/>
        <v>0.22</v>
      </c>
    </row>
    <row r="45" spans="2:14" outlineLevel="1" x14ac:dyDescent="0.15">
      <c r="B45" s="8" t="s">
        <v>22</v>
      </c>
      <c r="D45" s="32">
        <f t="shared" ref="D45:L45" si="14">-D32/D29</f>
        <v>0.17437136235340844</v>
      </c>
      <c r="E45" s="32">
        <f t="shared" si="14"/>
        <v>0.17594463494851559</v>
      </c>
      <c r="F45" s="32">
        <f t="shared" si="14"/>
        <v>0.18299770807546287</v>
      </c>
      <c r="G45" s="32">
        <f t="shared" si="14"/>
        <v>0.18886405547608368</v>
      </c>
      <c r="H45" s="64">
        <f t="shared" si="14"/>
        <v>0.19</v>
      </c>
      <c r="I45" s="64">
        <f t="shared" si="14"/>
        <v>0.18999999999999997</v>
      </c>
      <c r="J45" s="64">
        <f t="shared" si="14"/>
        <v>0.19</v>
      </c>
      <c r="K45" s="64">
        <f t="shared" si="14"/>
        <v>0.19</v>
      </c>
      <c r="L45" s="64">
        <f t="shared" si="14"/>
        <v>0.19</v>
      </c>
    </row>
    <row r="46" spans="2:14" outlineLevel="1" x14ac:dyDescent="0.15">
      <c r="B46" s="8" t="s">
        <v>23</v>
      </c>
      <c r="D46" s="32">
        <f t="shared" ref="D46:L46" si="15">-D33/D29</f>
        <v>1.3616397834033667E-2</v>
      </c>
      <c r="E46" s="32">
        <f t="shared" si="15"/>
        <v>2.5692215615856339E-2</v>
      </c>
      <c r="F46" s="32">
        <f t="shared" si="15"/>
        <v>1.923532792459957E-2</v>
      </c>
      <c r="G46" s="32">
        <f t="shared" si="15"/>
        <v>2.4125728729865785E-2</v>
      </c>
      <c r="H46" s="64">
        <f t="shared" si="15"/>
        <v>2.4E-2</v>
      </c>
      <c r="I46" s="64">
        <f t="shared" si="15"/>
        <v>2.4E-2</v>
      </c>
      <c r="J46" s="64">
        <f t="shared" si="15"/>
        <v>2.4E-2</v>
      </c>
      <c r="K46" s="64">
        <f t="shared" si="15"/>
        <v>2.4E-2</v>
      </c>
      <c r="L46" s="64">
        <f t="shared" si="15"/>
        <v>2.4E-2</v>
      </c>
    </row>
    <row r="47" spans="2:14" outlineLevel="1" x14ac:dyDescent="0.15">
      <c r="B47" s="8" t="s">
        <v>32</v>
      </c>
      <c r="D47" s="32">
        <f>D36/D29</f>
        <v>0.13570761384605307</v>
      </c>
      <c r="E47" s="32">
        <f t="shared" ref="E47:L47" si="16">E36/E29</f>
        <v>0.14817131626633187</v>
      </c>
      <c r="F47" s="32">
        <f t="shared" si="16"/>
        <v>0.17299577069132127</v>
      </c>
      <c r="G47" s="32">
        <f t="shared" si="16"/>
        <v>0.17901880991541266</v>
      </c>
      <c r="H47" s="64">
        <f t="shared" si="16"/>
        <v>0.16400000000000003</v>
      </c>
      <c r="I47" s="64">
        <f t="shared" si="16"/>
        <v>0.16099999999999998</v>
      </c>
      <c r="J47" s="64">
        <f t="shared" si="16"/>
        <v>0.16199999999999992</v>
      </c>
      <c r="K47" s="64">
        <f t="shared" si="16"/>
        <v>0.16300000000000006</v>
      </c>
      <c r="L47" s="64">
        <f t="shared" si="16"/>
        <v>0.16299999999999998</v>
      </c>
    </row>
    <row r="48" spans="2:14" outlineLevel="1" x14ac:dyDescent="0.15">
      <c r="B48" s="22" t="s">
        <v>33</v>
      </c>
      <c r="D48" s="33">
        <f>D38/D29</f>
        <v>0.14100202608566245</v>
      </c>
      <c r="E48" s="33">
        <f t="shared" ref="E48:L48" si="17">E38/E29</f>
        <v>0.14423350333131832</v>
      </c>
      <c r="F48" s="33">
        <f t="shared" si="17"/>
        <v>0.16702768907249471</v>
      </c>
      <c r="G48" s="33">
        <f t="shared" si="17"/>
        <v>0.16890344054970238</v>
      </c>
      <c r="H48" s="77">
        <f t="shared" si="17"/>
        <v>0.16400000000000003</v>
      </c>
      <c r="I48" s="77">
        <f t="shared" si="17"/>
        <v>0.16099999999999998</v>
      </c>
      <c r="J48" s="77">
        <f t="shared" si="17"/>
        <v>0.16199999999999992</v>
      </c>
      <c r="K48" s="77">
        <f t="shared" si="17"/>
        <v>0.16300000000000006</v>
      </c>
      <c r="L48" s="77">
        <f t="shared" si="17"/>
        <v>0.16299999999999998</v>
      </c>
    </row>
    <row r="49" spans="2:14" outlineLevel="1" x14ac:dyDescent="0.15"/>
    <row r="50" spans="2:14" outlineLevel="1" x14ac:dyDescent="0.15">
      <c r="B50" s="30" t="s">
        <v>34</v>
      </c>
    </row>
    <row r="51" spans="2:14" outlineLevel="1" x14ac:dyDescent="0.15">
      <c r="B51" s="8" t="s">
        <v>10</v>
      </c>
      <c r="D51" s="64">
        <f>IF(Hist!D149=0,"n.m.",(Hist!D162+Hist!D169+Hist!D175)/Hist!D149)</f>
        <v>0.15257431587345144</v>
      </c>
      <c r="E51" s="64">
        <f>IF(Hist!E149=0,"n.m.",(Hist!E162+Hist!E169+Hist!E175)/Hist!E149)</f>
        <v>0.14854228390960972</v>
      </c>
      <c r="F51" s="64">
        <f>IF(Hist!F149=0,"n.m.",(Hist!F162+Hist!F169+Hist!F175)/Hist!F149)</f>
        <v>0.16609676981160693</v>
      </c>
      <c r="G51" s="64">
        <f>IF(Hist!G149=0,"n.m.",(Hist!G162+Hist!G169+Hist!G175)/Hist!G149)</f>
        <v>0.1896488846350077</v>
      </c>
    </row>
    <row r="52" spans="2:14" outlineLevel="1" x14ac:dyDescent="0.15">
      <c r="B52" s="8" t="s">
        <v>11</v>
      </c>
      <c r="D52" s="64">
        <f>IF(Hist!D150=0,"n.m.",(Hist!D163+Hist!D170+Hist!D176)/Hist!D150)</f>
        <v>0.12859298626159635</v>
      </c>
      <c r="E52" s="64">
        <f>IF(Hist!E150=0,"n.m.",(Hist!E163+Hist!E170+Hist!E176)/Hist!E150)</f>
        <v>0.13513966672211616</v>
      </c>
      <c r="F52" s="64">
        <f>IF(Hist!F150=0,"n.m.",(Hist!F163+Hist!F170+Hist!F176)/Hist!F150)</f>
        <v>0.15914891645060639</v>
      </c>
      <c r="G52" s="64">
        <f>IF(Hist!G150=0,"n.m.",(Hist!G163+Hist!G170+Hist!G176)/Hist!G150)</f>
        <v>0.15436095372579023</v>
      </c>
    </row>
    <row r="53" spans="2:14" outlineLevel="1" x14ac:dyDescent="0.15">
      <c r="B53" s="8" t="s">
        <v>12</v>
      </c>
      <c r="D53" s="64">
        <f>IF(Hist!D151=0,"n.m.",(Hist!D164+Hist!D171+Hist!D177)/Hist!D151)</f>
        <v>6.1040225900041954E-2</v>
      </c>
      <c r="E53" s="64">
        <f>IF(Hist!E151=0,"n.m.",(Hist!E164+Hist!E171+Hist!E177)/Hist!E151)</f>
        <v>0.10777978378020447</v>
      </c>
      <c r="F53" s="64">
        <f>IF(Hist!F151=0,"n.m.",(Hist!F164+Hist!F171+Hist!F177)/Hist!F151)</f>
        <v>0.11655193318667602</v>
      </c>
      <c r="G53" s="64">
        <f>IF(Hist!G151=0,"n.m.",(Hist!G164+Hist!G171+Hist!G177)/Hist!G151)</f>
        <v>0.10243754121748262</v>
      </c>
    </row>
    <row r="54" spans="2:14" outlineLevel="1" x14ac:dyDescent="0.15">
      <c r="B54" s="8" t="s">
        <v>13</v>
      </c>
      <c r="D54" s="64" t="str">
        <f>IF(Hist!D152=0,"n.m.",(Hist!D165+Hist!D172+Hist!D178)/Hist!D152)</f>
        <v>n.m.</v>
      </c>
      <c r="E54" s="64" t="str">
        <f>IF(Hist!E152=0,"n.m.",(Hist!E165+Hist!E172+Hist!E178)/Hist!E152)</f>
        <v>n.m.</v>
      </c>
      <c r="F54" s="64">
        <f>IF(Hist!F152=0,"n.m.",(Hist!F165+Hist!F172+Hist!F178)/Hist!F152)</f>
        <v>0.19589681335356599</v>
      </c>
      <c r="G54" s="64">
        <f>IF(Hist!G152=0,"n.m.",(Hist!G165+Hist!G172+Hist!G178)/Hist!G152)</f>
        <v>0.11835821127582238</v>
      </c>
    </row>
    <row r="56" spans="2:14" ht="18" customHeight="1" x14ac:dyDescent="0.15">
      <c r="B56" s="5" t="s">
        <v>35</v>
      </c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2:14" outlineLevel="1" x14ac:dyDescent="0.15">
      <c r="B57" s="17" t="s">
        <v>8</v>
      </c>
      <c r="D57" s="29">
        <f t="shared" ref="D57:L57" si="18">D$4</f>
        <v>2022</v>
      </c>
      <c r="E57" s="29">
        <f t="shared" si="18"/>
        <v>2023</v>
      </c>
      <c r="F57" s="29">
        <f t="shared" si="18"/>
        <v>2024</v>
      </c>
      <c r="G57" s="29">
        <f t="shared" si="18"/>
        <v>2025</v>
      </c>
      <c r="H57" s="23">
        <f t="shared" si="18"/>
        <v>2026</v>
      </c>
      <c r="I57" s="23">
        <f t="shared" si="18"/>
        <v>2027</v>
      </c>
      <c r="J57" s="23">
        <f t="shared" si="18"/>
        <v>2028</v>
      </c>
      <c r="K57" s="23">
        <f t="shared" si="18"/>
        <v>2029</v>
      </c>
      <c r="L57" s="23">
        <f t="shared" si="18"/>
        <v>2030</v>
      </c>
    </row>
    <row r="58" spans="2:14" outlineLevel="1" x14ac:dyDescent="0.15">
      <c r="B58" s="8" t="s">
        <v>15</v>
      </c>
      <c r="D58" s="196">
        <f t="shared" ref="D58:L58" si="19">D16</f>
        <v>7875.2840000000006</v>
      </c>
      <c r="E58" s="196">
        <f t="shared" si="19"/>
        <v>8690.1029999999992</v>
      </c>
      <c r="F58" s="196">
        <f t="shared" si="19"/>
        <v>11081.953</v>
      </c>
      <c r="G58" s="196">
        <f t="shared" si="19"/>
        <v>10754.328</v>
      </c>
      <c r="H58" s="196">
        <f t="shared" si="19"/>
        <v>11499.525273600002</v>
      </c>
      <c r="I58" s="196">
        <f t="shared" si="19"/>
        <v>12005.815477824002</v>
      </c>
      <c r="J58" s="196">
        <f t="shared" si="19"/>
        <v>12476.601196997761</v>
      </c>
      <c r="K58" s="196">
        <f t="shared" si="19"/>
        <v>12913.268367251578</v>
      </c>
      <c r="L58" s="196">
        <f t="shared" si="19"/>
        <v>13338.8086602932</v>
      </c>
    </row>
    <row r="59" spans="2:14" outlineLevel="1" x14ac:dyDescent="0.15">
      <c r="B59" s="8" t="s">
        <v>36</v>
      </c>
      <c r="D59" s="196">
        <f>SUM(D30:D35)</f>
        <v>-6806.5479999999998</v>
      </c>
      <c r="E59" s="196">
        <f t="shared" ref="E59:L59" si="20">SUM(E30:E35)</f>
        <v>-7402.4789999999994</v>
      </c>
      <c r="F59" s="196">
        <f t="shared" si="20"/>
        <v>-9164.8220000000019</v>
      </c>
      <c r="G59" s="196">
        <f t="shared" si="20"/>
        <v>-8829.1010000000006</v>
      </c>
      <c r="H59" s="196">
        <f t="shared" si="20"/>
        <v>-9613.6031287296009</v>
      </c>
      <c r="I59" s="196">
        <f t="shared" si="20"/>
        <v>-10072.879185894339</v>
      </c>
      <c r="J59" s="196">
        <f t="shared" si="20"/>
        <v>-10455.391803084125</v>
      </c>
      <c r="K59" s="196">
        <f t="shared" si="20"/>
        <v>-10808.40562338957</v>
      </c>
      <c r="L59" s="196">
        <f t="shared" si="20"/>
        <v>-11164.582848665408</v>
      </c>
      <c r="N59" s="17"/>
    </row>
    <row r="60" spans="2:14" outlineLevel="1" x14ac:dyDescent="0.15">
      <c r="B60" s="22" t="s">
        <v>26</v>
      </c>
      <c r="D60" s="193">
        <f t="shared" ref="D60:L60" si="21">SUM(D58:D59)</f>
        <v>1068.7360000000008</v>
      </c>
      <c r="E60" s="193">
        <f t="shared" si="21"/>
        <v>1287.6239999999998</v>
      </c>
      <c r="F60" s="193">
        <f t="shared" si="21"/>
        <v>1917.1309999999976</v>
      </c>
      <c r="G60" s="193">
        <f t="shared" si="21"/>
        <v>1925.226999999999</v>
      </c>
      <c r="H60" s="199">
        <f t="shared" si="21"/>
        <v>1885.9221448704011</v>
      </c>
      <c r="I60" s="199">
        <f t="shared" si="21"/>
        <v>1932.9362919296636</v>
      </c>
      <c r="J60" s="199">
        <f t="shared" si="21"/>
        <v>2021.2093939136357</v>
      </c>
      <c r="K60" s="199">
        <f t="shared" si="21"/>
        <v>2104.8627438620078</v>
      </c>
      <c r="L60" s="199">
        <f t="shared" si="21"/>
        <v>2174.2258116277917</v>
      </c>
    </row>
    <row r="61" spans="2:14" outlineLevel="1" x14ac:dyDescent="0.15">
      <c r="B61" s="8" t="s">
        <v>37</v>
      </c>
      <c r="D61" s="192">
        <f>-Hist!D94</f>
        <v>-586.096</v>
      </c>
      <c r="E61" s="192">
        <f>-Hist!E94</f>
        <v>-540.42100000000005</v>
      </c>
      <c r="F61" s="192">
        <f>-Hist!F94</f>
        <v>-674.07600000000002</v>
      </c>
      <c r="G61" s="192">
        <f>-Hist!G94</f>
        <v>-760.64400000000001</v>
      </c>
      <c r="H61" s="192">
        <f>H179</f>
        <v>-900.94951000000015</v>
      </c>
      <c r="I61" s="192">
        <f>I179</f>
        <v>-1007.0100930814401</v>
      </c>
      <c r="J61" s="192">
        <f>J179</f>
        <v>-1050.1221835367537</v>
      </c>
      <c r="K61" s="192">
        <f>K179</f>
        <v>-1073.0985216670194</v>
      </c>
      <c r="L61" s="192">
        <f>L179</f>
        <v>-1088.2447790025751</v>
      </c>
    </row>
    <row r="62" spans="2:14" outlineLevel="1" x14ac:dyDescent="0.15">
      <c r="B62" s="22" t="s">
        <v>38</v>
      </c>
      <c r="D62" s="193">
        <f t="shared" ref="D62:L62" si="22">SUM(D60:D61)</f>
        <v>482.64000000000078</v>
      </c>
      <c r="E62" s="193">
        <f t="shared" si="22"/>
        <v>747.20299999999975</v>
      </c>
      <c r="F62" s="193">
        <f t="shared" si="22"/>
        <v>1243.0549999999976</v>
      </c>
      <c r="G62" s="193">
        <f t="shared" si="22"/>
        <v>1164.5829999999989</v>
      </c>
      <c r="H62" s="199">
        <f t="shared" si="22"/>
        <v>984.97263487040095</v>
      </c>
      <c r="I62" s="199">
        <f t="shared" si="22"/>
        <v>925.92619884822352</v>
      </c>
      <c r="J62" s="199">
        <f t="shared" si="22"/>
        <v>971.08721037688201</v>
      </c>
      <c r="K62" s="199">
        <f t="shared" si="22"/>
        <v>1031.7642221949884</v>
      </c>
      <c r="L62" s="199">
        <f t="shared" si="22"/>
        <v>1085.9810326252166</v>
      </c>
    </row>
    <row r="63" spans="2:14" outlineLevel="1" x14ac:dyDescent="0.15">
      <c r="B63" s="8" t="s">
        <v>39</v>
      </c>
      <c r="D63" s="192">
        <f>Hist!D15</f>
        <v>158.28200000000001</v>
      </c>
      <c r="E63" s="192">
        <f>Hist!E15</f>
        <v>34.256</v>
      </c>
      <c r="F63" s="192">
        <f>Hist!F15</f>
        <v>46.197000000000003</v>
      </c>
      <c r="G63" s="192">
        <f>Hist!G15</f>
        <v>84.531999999999996</v>
      </c>
      <c r="H63" s="96">
        <f t="shared" ref="H63:L64" si="23">H213</f>
        <v>3.1735899999999999</v>
      </c>
      <c r="I63" s="96">
        <f t="shared" si="23"/>
        <v>2.5000000000000018</v>
      </c>
      <c r="J63" s="96">
        <f t="shared" si="23"/>
        <v>2.5000000000000018</v>
      </c>
      <c r="K63" s="96">
        <f t="shared" si="23"/>
        <v>2.5000000000000018</v>
      </c>
      <c r="L63" s="96">
        <f t="shared" si="23"/>
        <v>2.5000000000000018</v>
      </c>
    </row>
    <row r="64" spans="2:14" outlineLevel="1" x14ac:dyDescent="0.15">
      <c r="B64" s="8" t="s">
        <v>40</v>
      </c>
      <c r="D64" s="192">
        <f>Hist!D16</f>
        <v>-241.078</v>
      </c>
      <c r="E64" s="192">
        <f>Hist!E16</f>
        <v>-295.53199999999998</v>
      </c>
      <c r="F64" s="192">
        <f>Hist!F16</f>
        <v>-361.47</v>
      </c>
      <c r="G64" s="192">
        <f>Hist!G16</f>
        <v>-314.44799999999998</v>
      </c>
      <c r="H64" s="96">
        <f t="shared" si="23"/>
        <v>-339.14350999999999</v>
      </c>
      <c r="I64" s="96">
        <f t="shared" si="23"/>
        <v>-393.8425717784703</v>
      </c>
      <c r="J64" s="96">
        <f t="shared" si="23"/>
        <v>-408.09686674345022</v>
      </c>
      <c r="K64" s="96">
        <f t="shared" si="23"/>
        <v>-416.26015437090751</v>
      </c>
      <c r="L64" s="96">
        <f t="shared" si="23"/>
        <v>-420.32789619851314</v>
      </c>
    </row>
    <row r="65" spans="2:14" outlineLevel="1" x14ac:dyDescent="0.15">
      <c r="B65" s="8" t="s">
        <v>41</v>
      </c>
      <c r="D65" s="192">
        <f>Hist!D17</f>
        <v>0</v>
      </c>
      <c r="E65" s="192">
        <f>Hist!E17</f>
        <v>-3.9849999999999999</v>
      </c>
      <c r="F65" s="192">
        <f>Hist!F17</f>
        <v>-0.48199999999999998</v>
      </c>
      <c r="G65" s="192">
        <f>Hist!G17</f>
        <v>-1.758</v>
      </c>
      <c r="H65" s="96">
        <f>Inputs!H93</f>
        <v>0</v>
      </c>
      <c r="I65" s="96">
        <f>Inputs!I93</f>
        <v>0</v>
      </c>
      <c r="J65" s="96">
        <f>Inputs!J93</f>
        <v>0</v>
      </c>
      <c r="K65" s="96">
        <f>Inputs!K93</f>
        <v>0</v>
      </c>
      <c r="L65" s="96">
        <f>Inputs!L93</f>
        <v>0</v>
      </c>
    </row>
    <row r="66" spans="2:14" outlineLevel="1" x14ac:dyDescent="0.15">
      <c r="B66" s="22" t="s">
        <v>42</v>
      </c>
      <c r="D66" s="193">
        <f t="shared" ref="D66:L66" si="24">SUM(D62:D65)</f>
        <v>399.84400000000085</v>
      </c>
      <c r="E66" s="193">
        <f t="shared" si="24"/>
        <v>481.94199999999972</v>
      </c>
      <c r="F66" s="193">
        <f t="shared" si="24"/>
        <v>927.29999999999768</v>
      </c>
      <c r="G66" s="193">
        <f t="shared" si="24"/>
        <v>932.90899999999885</v>
      </c>
      <c r="H66" s="199">
        <f t="shared" si="24"/>
        <v>649.00271487040095</v>
      </c>
      <c r="I66" s="199">
        <f t="shared" si="24"/>
        <v>534.58362706975322</v>
      </c>
      <c r="J66" s="199">
        <f t="shared" si="24"/>
        <v>565.49034363343185</v>
      </c>
      <c r="K66" s="199">
        <f t="shared" si="24"/>
        <v>618.00406782408095</v>
      </c>
      <c r="L66" s="199">
        <f t="shared" si="24"/>
        <v>668.15313642670344</v>
      </c>
    </row>
    <row r="67" spans="2:14" outlineLevel="1" x14ac:dyDescent="0.15">
      <c r="B67" s="8" t="s">
        <v>43</v>
      </c>
      <c r="D67" s="192">
        <f>Hist!D19</f>
        <v>-135.92500000000001</v>
      </c>
      <c r="E67" s="192">
        <f>Hist!E19</f>
        <v>-112.965</v>
      </c>
      <c r="F67" s="192">
        <f>Hist!F19</f>
        <v>-274.149</v>
      </c>
      <c r="G67" s="192">
        <f>Hist!G19</f>
        <v>-251.321</v>
      </c>
      <c r="H67" s="96">
        <f>-H66*Inputs!H94</f>
        <v>-168.74070586630424</v>
      </c>
      <c r="I67" s="96">
        <f>-I66*Inputs!I94</f>
        <v>-138.99174303813584</v>
      </c>
      <c r="J67" s="96">
        <f>-J66*Inputs!J94</f>
        <v>-147.0274893446923</v>
      </c>
      <c r="K67" s="96">
        <f>-K66*Inputs!K94</f>
        <v>-160.68105763426107</v>
      </c>
      <c r="L67" s="96">
        <f>-L66*Inputs!L94</f>
        <v>-173.7198154709429</v>
      </c>
    </row>
    <row r="68" spans="2:14" outlineLevel="1" x14ac:dyDescent="0.15">
      <c r="B68" s="22" t="s">
        <v>44</v>
      </c>
      <c r="D68" s="193">
        <f t="shared" ref="D68:L68" si="25">SUM(D66:D67)</f>
        <v>263.91900000000084</v>
      </c>
      <c r="E68" s="193">
        <f t="shared" si="25"/>
        <v>368.97699999999975</v>
      </c>
      <c r="F68" s="193">
        <f t="shared" si="25"/>
        <v>653.15099999999768</v>
      </c>
      <c r="G68" s="193">
        <f t="shared" si="25"/>
        <v>681.58799999999883</v>
      </c>
      <c r="H68" s="199">
        <f t="shared" si="25"/>
        <v>480.26200900409674</v>
      </c>
      <c r="I68" s="199">
        <f t="shared" si="25"/>
        <v>395.59188403161738</v>
      </c>
      <c r="J68" s="199">
        <f t="shared" si="25"/>
        <v>418.46285428873955</v>
      </c>
      <c r="K68" s="199">
        <f t="shared" si="25"/>
        <v>457.32301018981991</v>
      </c>
      <c r="L68" s="199">
        <f t="shared" si="25"/>
        <v>494.43332095576056</v>
      </c>
    </row>
    <row r="69" spans="2:14" outlineLevel="1" x14ac:dyDescent="0.15">
      <c r="B69" s="8" t="s">
        <v>45</v>
      </c>
      <c r="D69" s="192">
        <f>-Hist!D22</f>
        <v>5.2309999999999999</v>
      </c>
      <c r="E69" s="192">
        <f>-Hist!E22</f>
        <v>-3.58</v>
      </c>
      <c r="F69" s="192">
        <f>-Hist!F22</f>
        <v>-55.26</v>
      </c>
      <c r="G69" s="192">
        <f>-Hist!G22</f>
        <v>-7.665</v>
      </c>
      <c r="H69" s="96">
        <f>-H68*Inputs!H95</f>
        <v>-24.013100450204838</v>
      </c>
      <c r="I69" s="96">
        <f>-I68*Inputs!I95</f>
        <v>-19.779594201580871</v>
      </c>
      <c r="J69" s="96">
        <f>-J68*Inputs!J95</f>
        <v>-20.923142714436977</v>
      </c>
      <c r="K69" s="96">
        <f>-K68*Inputs!K95</f>
        <v>-22.866150509490996</v>
      </c>
      <c r="L69" s="96">
        <f>-L68*Inputs!L95</f>
        <v>-24.72166604778803</v>
      </c>
      <c r="N69" s="17"/>
    </row>
    <row r="70" spans="2:14" outlineLevel="1" x14ac:dyDescent="0.15">
      <c r="B70" s="22" t="s">
        <v>46</v>
      </c>
      <c r="D70" s="193">
        <f t="shared" ref="D70:L70" si="26">SUM(D68:D69)</f>
        <v>269.15000000000083</v>
      </c>
      <c r="E70" s="193">
        <f t="shared" si="26"/>
        <v>365.39699999999976</v>
      </c>
      <c r="F70" s="193">
        <f t="shared" si="26"/>
        <v>597.89099999999769</v>
      </c>
      <c r="G70" s="193">
        <f t="shared" si="26"/>
        <v>673.92299999999886</v>
      </c>
      <c r="H70" s="199">
        <f t="shared" si="26"/>
        <v>456.24890855389191</v>
      </c>
      <c r="I70" s="199">
        <f t="shared" si="26"/>
        <v>375.81228983003649</v>
      </c>
      <c r="J70" s="199">
        <f t="shared" si="26"/>
        <v>397.5397115743026</v>
      </c>
      <c r="K70" s="199">
        <f t="shared" si="26"/>
        <v>434.45685968032893</v>
      </c>
      <c r="L70" s="199">
        <f t="shared" si="26"/>
        <v>469.71165490797256</v>
      </c>
    </row>
    <row r="71" spans="2:14" outlineLevel="1" x14ac:dyDescent="0.15">
      <c r="B71" s="31" t="s">
        <v>47</v>
      </c>
      <c r="D71" s="195">
        <f>ROUND(D68-Hist!D37,1)</f>
        <v>0</v>
      </c>
      <c r="E71" s="195">
        <f>ROUND(E68-Hist!E37,1)</f>
        <v>0</v>
      </c>
      <c r="F71" s="195">
        <f>ROUND(F68-Hist!F37,1)</f>
        <v>0</v>
      </c>
      <c r="G71" s="195">
        <f>ROUND(G68-Hist!G37,1)</f>
        <v>0</v>
      </c>
      <c r="H71" s="200"/>
      <c r="I71" s="200"/>
      <c r="J71" s="200"/>
      <c r="K71" s="200"/>
      <c r="L71" s="200"/>
    </row>
    <row r="72" spans="2:14" outlineLevel="1" x14ac:dyDescent="0.15">
      <c r="B72" s="31"/>
      <c r="D72" s="195"/>
      <c r="E72" s="195"/>
      <c r="F72" s="195"/>
      <c r="G72" s="195"/>
      <c r="H72" s="200"/>
      <c r="I72" s="200"/>
      <c r="J72" s="200"/>
      <c r="K72" s="200"/>
      <c r="L72" s="200"/>
    </row>
    <row r="73" spans="2:14" outlineLevel="1" x14ac:dyDescent="0.15"/>
    <row r="74" spans="2:14" outlineLevel="1" x14ac:dyDescent="0.15">
      <c r="B74" s="30" t="s">
        <v>48</v>
      </c>
      <c r="H74" s="99"/>
      <c r="I74" s="99"/>
      <c r="J74" s="99"/>
      <c r="K74" s="99"/>
      <c r="L74" s="99"/>
    </row>
    <row r="75" spans="2:14" outlineLevel="1" x14ac:dyDescent="0.15">
      <c r="B75" s="8" t="s">
        <v>28</v>
      </c>
      <c r="D75" s="196">
        <f t="shared" ref="D75:L75" si="27">D38</f>
        <v>1110.4310000000003</v>
      </c>
      <c r="E75" s="196">
        <f t="shared" si="27"/>
        <v>1253.4039999999993</v>
      </c>
      <c r="F75" s="196">
        <f t="shared" si="27"/>
        <v>1850.9929999999999</v>
      </c>
      <c r="G75" s="196">
        <f t="shared" si="27"/>
        <v>1816.4429999999998</v>
      </c>
      <c r="H75" s="96">
        <f t="shared" si="27"/>
        <v>1885.9221448704006</v>
      </c>
      <c r="I75" s="96">
        <f t="shared" si="27"/>
        <v>1932.9362919296641</v>
      </c>
      <c r="J75" s="96">
        <f t="shared" si="27"/>
        <v>2021.2093939136362</v>
      </c>
      <c r="K75" s="96">
        <f t="shared" si="27"/>
        <v>2104.8627438620078</v>
      </c>
      <c r="L75" s="96">
        <f t="shared" si="27"/>
        <v>2174.2258116277912</v>
      </c>
    </row>
    <row r="76" spans="2:14" outlineLevel="1" x14ac:dyDescent="0.15">
      <c r="B76" s="8" t="s">
        <v>49</v>
      </c>
      <c r="C76" s="17" t="s">
        <v>50</v>
      </c>
      <c r="D76" s="65">
        <f>Hist!D25</f>
        <v>12.07</v>
      </c>
      <c r="E76" s="65">
        <f>Hist!E25</f>
        <v>16.39</v>
      </c>
      <c r="F76" s="65">
        <f>Hist!F25</f>
        <v>26.82</v>
      </c>
      <c r="G76" s="65">
        <f>Hist!G25</f>
        <v>30.23</v>
      </c>
      <c r="H76" s="98">
        <f>H70/H78</f>
        <v>21.386268935044317</v>
      </c>
      <c r="I76" s="98">
        <f>I70/I78</f>
        <v>17.615872714905635</v>
      </c>
      <c r="J76" s="98">
        <f>J70/J78</f>
        <v>18.634326624550699</v>
      </c>
      <c r="K76" s="98">
        <f>K70/K78</f>
        <v>20.364785685182255</v>
      </c>
      <c r="L76" s="98">
        <f>L70/L78</f>
        <v>22.017323407142076</v>
      </c>
    </row>
    <row r="77" spans="2:14" outlineLevel="1" x14ac:dyDescent="0.15">
      <c r="B77" s="8" t="s">
        <v>51</v>
      </c>
      <c r="C77" s="17" t="s">
        <v>50</v>
      </c>
      <c r="D77" s="65">
        <f>Hist!D27</f>
        <v>13.5</v>
      </c>
      <c r="E77" s="65">
        <f>Hist!E27</f>
        <v>13.5</v>
      </c>
      <c r="F77" s="65">
        <f>Hist!F27</f>
        <v>21</v>
      </c>
      <c r="G77" s="65">
        <f>Hist!G27</f>
        <v>21</v>
      </c>
      <c r="H77" s="98">
        <f>Inputs!H102</f>
        <v>21</v>
      </c>
      <c r="I77" s="98">
        <f>Inputs!I102</f>
        <v>21</v>
      </c>
      <c r="J77" s="98">
        <f>Inputs!J102</f>
        <v>21</v>
      </c>
      <c r="K77" s="98">
        <f>Inputs!K102</f>
        <v>21</v>
      </c>
      <c r="L77" s="98">
        <f>Inputs!L102</f>
        <v>21</v>
      </c>
    </row>
    <row r="78" spans="2:14" outlineLevel="1" x14ac:dyDescent="0.15">
      <c r="B78" s="8" t="s">
        <v>52</v>
      </c>
      <c r="C78" s="17" t="s">
        <v>53</v>
      </c>
      <c r="D78" s="65">
        <f>Hist!D30</f>
        <v>21.229711999999999</v>
      </c>
      <c r="E78" s="65">
        <f>Hist!E30</f>
        <v>21.229711999999999</v>
      </c>
      <c r="F78" s="65">
        <f>Hist!F30</f>
        <v>21.266681999999999</v>
      </c>
      <c r="G78" s="65">
        <f>Hist!G30</f>
        <v>21.293526</v>
      </c>
      <c r="H78" s="98">
        <f>SharesOut</f>
        <v>21.333731</v>
      </c>
      <c r="I78" s="98">
        <f>SharesOut</f>
        <v>21.333731</v>
      </c>
      <c r="J78" s="98">
        <f>SharesOut</f>
        <v>21.333731</v>
      </c>
      <c r="K78" s="98">
        <f>SharesOut</f>
        <v>21.333731</v>
      </c>
      <c r="L78" s="98">
        <f>SharesOut</f>
        <v>21.333731</v>
      </c>
      <c r="N78" s="17"/>
    </row>
    <row r="80" spans="2:14" ht="18" customHeight="1" x14ac:dyDescent="0.15">
      <c r="B80" s="5" t="s">
        <v>54</v>
      </c>
      <c r="C80" s="6"/>
      <c r="D80" s="6"/>
      <c r="E80" s="6"/>
      <c r="F80" s="6"/>
      <c r="G80" s="6"/>
      <c r="H80" s="116"/>
      <c r="I80" s="116"/>
      <c r="J80" s="116"/>
      <c r="K80" s="116"/>
      <c r="L80" s="116"/>
    </row>
    <row r="81" spans="2:14" outlineLevel="1" x14ac:dyDescent="0.15">
      <c r="B81" s="17" t="s">
        <v>8</v>
      </c>
      <c r="D81" s="29">
        <f t="shared" ref="D81:L81" si="28">D$4</f>
        <v>2022</v>
      </c>
      <c r="E81" s="29">
        <f t="shared" si="28"/>
        <v>2023</v>
      </c>
      <c r="F81" s="29">
        <f t="shared" si="28"/>
        <v>2024</v>
      </c>
      <c r="G81" s="29">
        <f t="shared" si="28"/>
        <v>2025</v>
      </c>
      <c r="H81" s="23">
        <f t="shared" si="28"/>
        <v>2026</v>
      </c>
      <c r="I81" s="23">
        <f t="shared" si="28"/>
        <v>2027</v>
      </c>
      <c r="J81" s="23">
        <f t="shared" si="28"/>
        <v>2028</v>
      </c>
      <c r="K81" s="23">
        <f t="shared" si="28"/>
        <v>2029</v>
      </c>
      <c r="L81" s="23">
        <f t="shared" si="28"/>
        <v>2030</v>
      </c>
    </row>
    <row r="82" spans="2:14" outlineLevel="1" x14ac:dyDescent="0.15">
      <c r="B82" s="30" t="s">
        <v>55</v>
      </c>
      <c r="H82" s="99"/>
      <c r="I82" s="99"/>
      <c r="J82" s="99"/>
      <c r="K82" s="99"/>
      <c r="L82" s="99"/>
    </row>
    <row r="83" spans="2:14" outlineLevel="1" x14ac:dyDescent="0.15">
      <c r="B83" s="8" t="s">
        <v>56</v>
      </c>
      <c r="D83" s="192">
        <f>Hist!D55</f>
        <v>626.44200000000001</v>
      </c>
      <c r="E83" s="192">
        <f>Hist!E55</f>
        <v>1071.0989999999999</v>
      </c>
      <c r="F83" s="192">
        <f>Hist!F55</f>
        <v>1229.999</v>
      </c>
      <c r="G83" s="192">
        <f>Hist!G55</f>
        <v>634.71799999999996</v>
      </c>
      <c r="H83" s="96">
        <f>H143</f>
        <v>500.00000000000034</v>
      </c>
      <c r="I83" s="96">
        <f>I143</f>
        <v>500.00000000000034</v>
      </c>
      <c r="J83" s="96">
        <f>J143</f>
        <v>500.00000000000034</v>
      </c>
      <c r="K83" s="96">
        <f>K143</f>
        <v>500.00000000000034</v>
      </c>
      <c r="L83" s="96">
        <f>L143</f>
        <v>500.00000000000034</v>
      </c>
    </row>
    <row r="84" spans="2:14" outlineLevel="1" x14ac:dyDescent="0.15">
      <c r="B84" s="8" t="s">
        <v>57</v>
      </c>
      <c r="D84" s="192">
        <f>Hist!D53</f>
        <v>997.98900000000003</v>
      </c>
      <c r="E84" s="192">
        <f>Hist!E53</f>
        <v>1119.9380000000001</v>
      </c>
      <c r="F84" s="192">
        <f>Hist!F53</f>
        <v>1451.404</v>
      </c>
      <c r="G84" s="192">
        <f>Hist!G53</f>
        <v>1338.4290000000001</v>
      </c>
      <c r="H84" s="96">
        <f t="shared" ref="H84:L85" si="29">H164</f>
        <v>1449.2552399605481</v>
      </c>
      <c r="I84" s="96">
        <f t="shared" si="29"/>
        <v>1513.0616766572716</v>
      </c>
      <c r="J84" s="96">
        <f t="shared" si="29"/>
        <v>1572.3935755120465</v>
      </c>
      <c r="K84" s="96">
        <f t="shared" si="29"/>
        <v>1627.4256024481442</v>
      </c>
      <c r="L84" s="96">
        <f t="shared" si="29"/>
        <v>1681.0553380095541</v>
      </c>
    </row>
    <row r="85" spans="2:14" outlineLevel="1" x14ac:dyDescent="0.15">
      <c r="B85" s="8" t="s">
        <v>58</v>
      </c>
      <c r="D85" s="192">
        <f>Hist!D52</f>
        <v>766.43700000000001</v>
      </c>
      <c r="E85" s="192">
        <f>Hist!E52</f>
        <v>706.19100000000003</v>
      </c>
      <c r="F85" s="192">
        <f>Hist!F52</f>
        <v>941.88400000000001</v>
      </c>
      <c r="G85" s="192">
        <f>Hist!G52</f>
        <v>1008.021</v>
      </c>
      <c r="H85" s="96">
        <f t="shared" si="29"/>
        <v>1005.6571143378412</v>
      </c>
      <c r="I85" s="96">
        <f t="shared" si="29"/>
        <v>1060.4588794658791</v>
      </c>
      <c r="J85" s="96">
        <f t="shared" si="29"/>
        <v>1102.0428016197475</v>
      </c>
      <c r="K85" s="96">
        <f t="shared" si="29"/>
        <v>1140.6130744114819</v>
      </c>
      <c r="L85" s="96">
        <f t="shared" si="29"/>
        <v>1178.200523857131</v>
      </c>
    </row>
    <row r="86" spans="2:14" outlineLevel="1" x14ac:dyDescent="0.15">
      <c r="B86" s="8" t="s">
        <v>59</v>
      </c>
      <c r="D86" s="192">
        <f>Hist!D54</f>
        <v>23.635000000000002</v>
      </c>
      <c r="E86" s="192">
        <f>Hist!E54</f>
        <v>0.125</v>
      </c>
      <c r="F86" s="192">
        <f>Hist!F54</f>
        <v>3.556</v>
      </c>
      <c r="G86" s="192">
        <f>Hist!G54</f>
        <v>80.772999999999996</v>
      </c>
      <c r="H86" s="96">
        <f>G86</f>
        <v>80.772999999999996</v>
      </c>
      <c r="I86" s="96">
        <f>H86</f>
        <v>80.772999999999996</v>
      </c>
      <c r="J86" s="96">
        <f>I86</f>
        <v>80.772999999999996</v>
      </c>
      <c r="K86" s="96">
        <f>J86</f>
        <v>80.772999999999996</v>
      </c>
      <c r="L86" s="96">
        <f>K86</f>
        <v>80.772999999999996</v>
      </c>
      <c r="N86" s="17"/>
    </row>
    <row r="87" spans="2:14" outlineLevel="1" x14ac:dyDescent="0.15">
      <c r="B87" s="22" t="s">
        <v>61</v>
      </c>
      <c r="D87" s="193">
        <f t="shared" ref="D87:L87" si="30">SUM(D83:D86)</f>
        <v>2414.5030000000002</v>
      </c>
      <c r="E87" s="193">
        <f t="shared" si="30"/>
        <v>2897.3530000000001</v>
      </c>
      <c r="F87" s="193">
        <f t="shared" si="30"/>
        <v>3626.8430000000003</v>
      </c>
      <c r="G87" s="193">
        <f t="shared" si="30"/>
        <v>3061.9409999999998</v>
      </c>
      <c r="H87" s="193">
        <f t="shared" si="30"/>
        <v>3035.6853542983899</v>
      </c>
      <c r="I87" s="193">
        <f t="shared" si="30"/>
        <v>3154.2935561231516</v>
      </c>
      <c r="J87" s="193">
        <f t="shared" si="30"/>
        <v>3255.2093771317946</v>
      </c>
      <c r="K87" s="193">
        <f t="shared" si="30"/>
        <v>3348.8116768596265</v>
      </c>
      <c r="L87" s="193">
        <f t="shared" si="30"/>
        <v>3440.0288618666855</v>
      </c>
    </row>
    <row r="88" spans="2:14" outlineLevel="1" x14ac:dyDescent="0.15">
      <c r="B88" s="8" t="s">
        <v>62</v>
      </c>
      <c r="D88" s="192">
        <f>Hist!D41+Hist!D42</f>
        <v>3098.4769999999999</v>
      </c>
      <c r="E88" s="192">
        <f>Hist!E41+Hist!E42</f>
        <v>3113.2620000000002</v>
      </c>
      <c r="F88" s="192">
        <f>Hist!F41+Hist!F42</f>
        <v>4442.0780000000004</v>
      </c>
      <c r="G88" s="192">
        <f>Hist!G41+Hist!G42</f>
        <v>5299.7030000000004</v>
      </c>
      <c r="H88" s="96">
        <f t="shared" ref="H88:L89" si="31">H181</f>
        <v>5923.5887828320001</v>
      </c>
      <c r="I88" s="96">
        <f t="shared" si="31"/>
        <v>6177.1893149220796</v>
      </c>
      <c r="J88" s="96">
        <f t="shared" si="31"/>
        <v>6312.3442451001138</v>
      </c>
      <c r="K88" s="96">
        <f t="shared" si="31"/>
        <v>6401.439876485736</v>
      </c>
      <c r="L88" s="96">
        <f t="shared" si="31"/>
        <v>6446.9938336080832</v>
      </c>
      <c r="N88" s="17"/>
    </row>
    <row r="89" spans="2:14" outlineLevel="1" x14ac:dyDescent="0.15">
      <c r="B89" s="8" t="s">
        <v>63</v>
      </c>
      <c r="D89" s="192">
        <f>Hist!D43+Hist!D44</f>
        <v>1825.6610000000001</v>
      </c>
      <c r="E89" s="192">
        <f>Hist!E43+Hist!E44</f>
        <v>1822.114</v>
      </c>
      <c r="F89" s="192">
        <f>Hist!F43+Hist!F44</f>
        <v>2449.7470000000003</v>
      </c>
      <c r="G89" s="192">
        <f>Hist!G43+Hist!G44</f>
        <v>2763.9760000000001</v>
      </c>
      <c r="H89" s="96">
        <f t="shared" si="31"/>
        <v>2955.3470000000002</v>
      </c>
      <c r="I89" s="96">
        <f t="shared" si="31"/>
        <v>2955.3470000000002</v>
      </c>
      <c r="J89" s="96">
        <f t="shared" si="31"/>
        <v>2955.3470000000002</v>
      </c>
      <c r="K89" s="96">
        <f t="shared" si="31"/>
        <v>2955.3470000000002</v>
      </c>
      <c r="L89" s="96">
        <f t="shared" si="31"/>
        <v>2955.3470000000002</v>
      </c>
    </row>
    <row r="90" spans="2:14" outlineLevel="1" x14ac:dyDescent="0.15">
      <c r="B90" s="8" t="s">
        <v>64</v>
      </c>
      <c r="D90" s="192">
        <f>Hist!D45</f>
        <v>0</v>
      </c>
      <c r="E90" s="192">
        <f>Hist!E45</f>
        <v>75.695999999999998</v>
      </c>
      <c r="F90" s="192">
        <f>Hist!F45</f>
        <v>190.58</v>
      </c>
      <c r="G90" s="192">
        <f>Hist!G45</f>
        <v>188.721</v>
      </c>
      <c r="H90" s="96">
        <f>G90+H65-Hist!E395</f>
        <v>413.54200000000003</v>
      </c>
      <c r="I90" s="96">
        <f>H90+I65</f>
        <v>413.54200000000003</v>
      </c>
      <c r="J90" s="96">
        <f>I90+J65</f>
        <v>413.54200000000003</v>
      </c>
      <c r="K90" s="96">
        <f>J90+K65</f>
        <v>413.54200000000003</v>
      </c>
      <c r="L90" s="96">
        <f>K90+L65</f>
        <v>413.54200000000003</v>
      </c>
    </row>
    <row r="91" spans="2:14" outlineLevel="1" x14ac:dyDescent="0.15">
      <c r="B91" s="8" t="s">
        <v>65</v>
      </c>
      <c r="D91" s="192">
        <f>SUM(Hist!D46:D48)</f>
        <v>164.792</v>
      </c>
      <c r="E91" s="192">
        <f>SUM(Hist!E46:E48)</f>
        <v>119.176</v>
      </c>
      <c r="F91" s="192">
        <f>SUM(Hist!F46:F48)</f>
        <v>163.767</v>
      </c>
      <c r="G91" s="192">
        <f>SUM(Hist!G46:G48)</f>
        <v>223.864</v>
      </c>
      <c r="H91" s="96">
        <f>G91-H128</f>
        <v>335.12200000000001</v>
      </c>
      <c r="I91" s="96">
        <f>H91</f>
        <v>335.12200000000001</v>
      </c>
      <c r="J91" s="96">
        <f>I91</f>
        <v>335.12200000000001</v>
      </c>
      <c r="K91" s="96">
        <f>J91</f>
        <v>335.12200000000001</v>
      </c>
      <c r="L91" s="96">
        <f>K91</f>
        <v>335.12200000000001</v>
      </c>
      <c r="N91" s="17"/>
    </row>
    <row r="92" spans="2:14" outlineLevel="1" x14ac:dyDescent="0.15">
      <c r="B92" s="22" t="s">
        <v>66</v>
      </c>
      <c r="D92" s="193">
        <f t="shared" ref="D92:L92" si="32">SUM(D88:D91)</f>
        <v>5088.93</v>
      </c>
      <c r="E92" s="193">
        <f t="shared" si="32"/>
        <v>5130.2480000000005</v>
      </c>
      <c r="F92" s="193">
        <f t="shared" si="32"/>
        <v>7246.1720000000005</v>
      </c>
      <c r="G92" s="193">
        <f t="shared" si="32"/>
        <v>8476.2639999999992</v>
      </c>
      <c r="H92" s="193">
        <f t="shared" si="32"/>
        <v>9627.5997828319996</v>
      </c>
      <c r="I92" s="193">
        <f t="shared" si="32"/>
        <v>9881.2003149220782</v>
      </c>
      <c r="J92" s="193">
        <f t="shared" si="32"/>
        <v>10016.355245100112</v>
      </c>
      <c r="K92" s="193">
        <f t="shared" si="32"/>
        <v>10105.450876485735</v>
      </c>
      <c r="L92" s="193">
        <f t="shared" si="32"/>
        <v>10151.004833608082</v>
      </c>
    </row>
    <row r="93" spans="2:14" outlineLevel="1" x14ac:dyDescent="0.15">
      <c r="B93" s="22" t="s">
        <v>67</v>
      </c>
      <c r="D93" s="193">
        <f t="shared" ref="D93:L93" si="33">D87+D92</f>
        <v>7503.4330000000009</v>
      </c>
      <c r="E93" s="193">
        <f t="shared" si="33"/>
        <v>8027.6010000000006</v>
      </c>
      <c r="F93" s="193">
        <f t="shared" si="33"/>
        <v>10873.015000000001</v>
      </c>
      <c r="G93" s="193">
        <f t="shared" si="33"/>
        <v>11538.204999999998</v>
      </c>
      <c r="H93" s="193">
        <f t="shared" si="33"/>
        <v>12663.28513713039</v>
      </c>
      <c r="I93" s="193">
        <f t="shared" si="33"/>
        <v>13035.49387104523</v>
      </c>
      <c r="J93" s="193">
        <f t="shared" si="33"/>
        <v>13271.564622231906</v>
      </c>
      <c r="K93" s="193">
        <f t="shared" si="33"/>
        <v>13454.262553345361</v>
      </c>
      <c r="L93" s="193">
        <f t="shared" si="33"/>
        <v>13591.033695474767</v>
      </c>
    </row>
    <row r="94" spans="2:14" outlineLevel="1" x14ac:dyDescent="0.15"/>
    <row r="95" spans="2:14" outlineLevel="1" x14ac:dyDescent="0.15">
      <c r="B95" s="30" t="s">
        <v>68</v>
      </c>
      <c r="H95" s="99"/>
      <c r="I95" s="99"/>
      <c r="J95" s="99"/>
      <c r="K95" s="99"/>
      <c r="L95" s="99"/>
    </row>
    <row r="96" spans="2:14" outlineLevel="1" x14ac:dyDescent="0.15">
      <c r="B96" s="8" t="s">
        <v>69</v>
      </c>
      <c r="D96" s="192">
        <f>Hist!D82</f>
        <v>1832.8320000000001</v>
      </c>
      <c r="E96" s="192">
        <f>Hist!E82</f>
        <v>1982.385</v>
      </c>
      <c r="F96" s="192">
        <f>Hist!F82</f>
        <v>2581.9169999999999</v>
      </c>
      <c r="G96" s="192">
        <f>Hist!G82</f>
        <v>2399.4290000000001</v>
      </c>
      <c r="H96" s="96">
        <f>-H166</f>
        <v>2451.2892161984882</v>
      </c>
      <c r="I96" s="96">
        <f>-I166</f>
        <v>2584.8685186980802</v>
      </c>
      <c r="J96" s="96">
        <f>-J166</f>
        <v>2686.2293289481345</v>
      </c>
      <c r="K96" s="96">
        <f>-K166</f>
        <v>2780.2443688779867</v>
      </c>
      <c r="L96" s="96">
        <f>-L166</f>
        <v>2871.8637769017564</v>
      </c>
    </row>
    <row r="97" spans="2:14" outlineLevel="1" x14ac:dyDescent="0.15">
      <c r="B97" s="8" t="s">
        <v>70</v>
      </c>
      <c r="D97" s="192">
        <f>Hist!D81+Hist!D83</f>
        <v>108.212</v>
      </c>
      <c r="E97" s="192">
        <f>Hist!E81+Hist!E83</f>
        <v>263.74699999999996</v>
      </c>
      <c r="F97" s="192">
        <f>Hist!F81+Hist!F83</f>
        <v>335.00400000000002</v>
      </c>
      <c r="G97" s="192">
        <f>Hist!G81+Hist!G83</f>
        <v>72.667999999999992</v>
      </c>
      <c r="H97" s="96">
        <f>G97</f>
        <v>72.667999999999992</v>
      </c>
      <c r="I97" s="96">
        <f>H97</f>
        <v>72.667999999999992</v>
      </c>
      <c r="J97" s="96">
        <f>I97</f>
        <v>72.667999999999992</v>
      </c>
      <c r="K97" s="96">
        <f>J97</f>
        <v>72.667999999999992</v>
      </c>
      <c r="L97" s="96">
        <f>K97</f>
        <v>72.667999999999992</v>
      </c>
      <c r="N97" s="17"/>
    </row>
    <row r="98" spans="2:14" outlineLevel="1" x14ac:dyDescent="0.15">
      <c r="B98" s="8" t="s">
        <v>71</v>
      </c>
      <c r="D98" s="192">
        <f>Hist!D71+Hist!D79</f>
        <v>3550.0250000000001</v>
      </c>
      <c r="E98" s="192">
        <f>Hist!E71+Hist!E79</f>
        <v>3601.26</v>
      </c>
      <c r="F98" s="192">
        <f>Hist!F71+Hist!F79</f>
        <v>4769.0450000000001</v>
      </c>
      <c r="G98" s="192">
        <f>Hist!G71+Hist!G79</f>
        <v>5577.433</v>
      </c>
      <c r="H98" s="96">
        <f>H202</f>
        <v>6438.0240324558044</v>
      </c>
      <c r="I98" s="96">
        <f>I202</f>
        <v>6748.9365944528763</v>
      </c>
      <c r="J98" s="96">
        <f>J202</f>
        <v>6916.4909824298857</v>
      </c>
      <c r="K98" s="96">
        <f>K202</f>
        <v>6989.2371992292328</v>
      </c>
      <c r="L98" s="96">
        <f>L202</f>
        <v>6975.2150677938371</v>
      </c>
      <c r="N98" s="17"/>
    </row>
    <row r="99" spans="2:14" outlineLevel="1" x14ac:dyDescent="0.15">
      <c r="B99" s="8" t="s">
        <v>72</v>
      </c>
      <c r="D99" s="192">
        <f>Hist!D72+Hist!D80</f>
        <v>371.45699999999999</v>
      </c>
      <c r="E99" s="192">
        <f>Hist!E72+Hist!E80</f>
        <v>329.54300000000001</v>
      </c>
      <c r="F99" s="192">
        <f>Hist!F72+Hist!F80</f>
        <v>414.62599999999998</v>
      </c>
      <c r="G99" s="192">
        <f>Hist!G72+Hist!G80</f>
        <v>542.64400000000001</v>
      </c>
      <c r="H99" s="96">
        <f>H209</f>
        <v>722.17492547200004</v>
      </c>
      <c r="I99" s="96">
        <f>I209</f>
        <v>702.30826185856006</v>
      </c>
      <c r="J99" s="96">
        <f>J209</f>
        <v>699.00931152943372</v>
      </c>
      <c r="K99" s="96">
        <f>K209</f>
        <v>705.63132672386917</v>
      </c>
      <c r="L99" s="96">
        <f>L209</f>
        <v>718.38022230914021</v>
      </c>
      <c r="N99" s="17"/>
    </row>
    <row r="100" spans="2:14" outlineLevel="1" x14ac:dyDescent="0.15">
      <c r="B100" s="8" t="s">
        <v>73</v>
      </c>
      <c r="D100" s="192">
        <f>SUM(Hist!D73:D75)</f>
        <v>353.27799999999996</v>
      </c>
      <c r="E100" s="192">
        <f>SUM(Hist!E73:E75)</f>
        <v>392.81600000000003</v>
      </c>
      <c r="F100" s="192">
        <f>SUM(Hist!F73:F75)</f>
        <v>748.41499999999996</v>
      </c>
      <c r="G100" s="192">
        <f>SUM(Hist!G73:G75)</f>
        <v>663.15499999999997</v>
      </c>
      <c r="H100" s="96">
        <f>G100</f>
        <v>663.15499999999997</v>
      </c>
      <c r="I100" s="96">
        <f>H100</f>
        <v>663.15499999999997</v>
      </c>
      <c r="J100" s="96">
        <f>I100</f>
        <v>663.15499999999997</v>
      </c>
      <c r="K100" s="96">
        <f>J100</f>
        <v>663.15499999999997</v>
      </c>
      <c r="L100" s="96">
        <f>K100</f>
        <v>663.15499999999997</v>
      </c>
      <c r="N100" s="17"/>
    </row>
    <row r="101" spans="2:14" outlineLevel="1" x14ac:dyDescent="0.15">
      <c r="B101" s="22" t="s">
        <v>74</v>
      </c>
      <c r="D101" s="193">
        <f t="shared" ref="D101:L101" si="34">SUM(D96:D100)</f>
        <v>6215.804000000001</v>
      </c>
      <c r="E101" s="193">
        <f t="shared" si="34"/>
        <v>6569.7509999999993</v>
      </c>
      <c r="F101" s="193">
        <f t="shared" si="34"/>
        <v>8849.0070000000014</v>
      </c>
      <c r="G101" s="193">
        <f t="shared" si="34"/>
        <v>9255.3290000000015</v>
      </c>
      <c r="H101" s="193">
        <f t="shared" si="34"/>
        <v>10347.311174126293</v>
      </c>
      <c r="I101" s="193">
        <f t="shared" si="34"/>
        <v>10771.936375009516</v>
      </c>
      <c r="J101" s="193">
        <f t="shared" si="34"/>
        <v>11037.552622907455</v>
      </c>
      <c r="K101" s="193">
        <f t="shared" si="34"/>
        <v>11210.935894831089</v>
      </c>
      <c r="L101" s="193">
        <f t="shared" si="34"/>
        <v>11301.282067004735</v>
      </c>
    </row>
    <row r="102" spans="2:14" outlineLevel="1" x14ac:dyDescent="0.15">
      <c r="B102" s="8" t="s">
        <v>75</v>
      </c>
      <c r="D102" s="192">
        <f>SUM(Hist!D60:D65)</f>
        <v>1332.365</v>
      </c>
      <c r="E102" s="192">
        <f>SUM(Hist!E60:E65)</f>
        <v>1457.8449999999998</v>
      </c>
      <c r="F102" s="192">
        <f>SUM(Hist!F60:F65)</f>
        <v>1690.6409999999998</v>
      </c>
      <c r="G102" s="192">
        <f>SUM(Hist!G60:G65)</f>
        <v>1947.8909999999998</v>
      </c>
      <c r="H102" s="96">
        <f>G102+H135+H70</f>
        <v>1956.9758625538916</v>
      </c>
      <c r="I102" s="96">
        <f>H102+I135+I70</f>
        <v>1884.7798013839281</v>
      </c>
      <c r="J102" s="96">
        <f>I102+J135+J70</f>
        <v>1834.3111619582307</v>
      </c>
      <c r="K102" s="96">
        <f>J102+K135+K70</f>
        <v>1820.7596706385598</v>
      </c>
      <c r="L102" s="96">
        <f>K102+L135+L70</f>
        <v>1842.4629745465325</v>
      </c>
      <c r="N102" s="17"/>
    </row>
    <row r="103" spans="2:14" outlineLevel="1" x14ac:dyDescent="0.15">
      <c r="B103" s="8" t="s">
        <v>45</v>
      </c>
      <c r="D103" s="192">
        <f>Hist!D67</f>
        <v>-44.735999999999997</v>
      </c>
      <c r="E103" s="192">
        <f>Hist!E67</f>
        <v>5.0000000000000001E-3</v>
      </c>
      <c r="F103" s="192">
        <f>Hist!F67</f>
        <v>333.36700000000002</v>
      </c>
      <c r="G103" s="192">
        <f>Hist!G67</f>
        <v>334.98500000000001</v>
      </c>
      <c r="H103" s="96">
        <f>G103-H69</f>
        <v>358.99810045020484</v>
      </c>
      <c r="I103" s="96">
        <f>H103-I69</f>
        <v>378.77769465178574</v>
      </c>
      <c r="J103" s="96">
        <f>I103-J69</f>
        <v>399.70083736622269</v>
      </c>
      <c r="K103" s="96">
        <f>J103-K69</f>
        <v>422.56698787571366</v>
      </c>
      <c r="L103" s="96">
        <f>K103-L69</f>
        <v>447.28865392350167</v>
      </c>
    </row>
    <row r="104" spans="2:14" outlineLevel="1" x14ac:dyDescent="0.15">
      <c r="B104" s="22" t="s">
        <v>76</v>
      </c>
      <c r="D104" s="193">
        <f t="shared" ref="D104:L104" si="35">D102+D103</f>
        <v>1287.6289999999999</v>
      </c>
      <c r="E104" s="193">
        <f t="shared" si="35"/>
        <v>1457.85</v>
      </c>
      <c r="F104" s="193">
        <f t="shared" si="35"/>
        <v>2024.0079999999998</v>
      </c>
      <c r="G104" s="193">
        <f t="shared" si="35"/>
        <v>2282.8759999999997</v>
      </c>
      <c r="H104" s="193">
        <f t="shared" si="35"/>
        <v>2315.9739630040963</v>
      </c>
      <c r="I104" s="193">
        <f t="shared" si="35"/>
        <v>2263.5574960357139</v>
      </c>
      <c r="J104" s="193">
        <f t="shared" si="35"/>
        <v>2234.0119993244534</v>
      </c>
      <c r="K104" s="193">
        <f t="shared" si="35"/>
        <v>2243.3266585142733</v>
      </c>
      <c r="L104" s="193">
        <f t="shared" si="35"/>
        <v>2289.7516284700341</v>
      </c>
    </row>
    <row r="105" spans="2:14" outlineLevel="1" x14ac:dyDescent="0.15">
      <c r="B105" s="22" t="s">
        <v>77</v>
      </c>
      <c r="D105" s="193">
        <f t="shared" ref="D105:L105" si="36">D101+D104</f>
        <v>7503.4330000000009</v>
      </c>
      <c r="E105" s="193">
        <f t="shared" si="36"/>
        <v>8027.6009999999987</v>
      </c>
      <c r="F105" s="193">
        <f t="shared" si="36"/>
        <v>10873.015000000001</v>
      </c>
      <c r="G105" s="193">
        <f t="shared" si="36"/>
        <v>11538.205000000002</v>
      </c>
      <c r="H105" s="193">
        <f t="shared" si="36"/>
        <v>12663.28513713039</v>
      </c>
      <c r="I105" s="193">
        <f t="shared" si="36"/>
        <v>13035.49387104523</v>
      </c>
      <c r="J105" s="193">
        <f t="shared" si="36"/>
        <v>13271.564622231908</v>
      </c>
      <c r="K105" s="193">
        <f t="shared" si="36"/>
        <v>13454.262553345363</v>
      </c>
      <c r="L105" s="193">
        <f t="shared" si="36"/>
        <v>13591.033695474769</v>
      </c>
    </row>
    <row r="106" spans="2:14" outlineLevel="1" x14ac:dyDescent="0.15">
      <c r="B106" s="31" t="s">
        <v>78</v>
      </c>
      <c r="D106" s="195">
        <f t="shared" ref="D106:L106" si="37">ROUND(D93-D105,1)</f>
        <v>0</v>
      </c>
      <c r="E106" s="195">
        <f t="shared" si="37"/>
        <v>0</v>
      </c>
      <c r="F106" s="195">
        <f t="shared" si="37"/>
        <v>0</v>
      </c>
      <c r="G106" s="195">
        <f t="shared" si="37"/>
        <v>0</v>
      </c>
      <c r="H106" s="195">
        <f t="shared" si="37"/>
        <v>0</v>
      </c>
      <c r="I106" s="195">
        <f t="shared" si="37"/>
        <v>0</v>
      </c>
      <c r="J106" s="195">
        <f t="shared" si="37"/>
        <v>0</v>
      </c>
      <c r="K106" s="195">
        <f t="shared" si="37"/>
        <v>0</v>
      </c>
      <c r="L106" s="195">
        <f t="shared" si="37"/>
        <v>0</v>
      </c>
    </row>
    <row r="107" spans="2:14" outlineLevel="1" x14ac:dyDescent="0.15">
      <c r="B107" s="31"/>
      <c r="D107" s="195"/>
      <c r="E107" s="195"/>
      <c r="F107" s="195"/>
      <c r="G107" s="195"/>
      <c r="H107" s="200"/>
      <c r="I107" s="200"/>
      <c r="J107" s="200"/>
      <c r="K107" s="200"/>
      <c r="L107" s="200"/>
    </row>
    <row r="109" spans="2:14" ht="18" customHeight="1" x14ac:dyDescent="0.15">
      <c r="B109" s="5" t="s">
        <v>79</v>
      </c>
      <c r="C109" s="6"/>
      <c r="D109" s="6"/>
      <c r="E109" s="6"/>
      <c r="F109" s="6"/>
      <c r="G109" s="6"/>
      <c r="H109" s="116"/>
      <c r="I109" s="116"/>
      <c r="J109" s="116"/>
      <c r="K109" s="116"/>
      <c r="L109" s="116"/>
    </row>
    <row r="110" spans="2:14" outlineLevel="1" x14ac:dyDescent="0.15">
      <c r="B110" s="17" t="s">
        <v>8</v>
      </c>
      <c r="D110" s="29">
        <f t="shared" ref="D110:L110" si="38">D$4</f>
        <v>2022</v>
      </c>
      <c r="E110" s="29">
        <f t="shared" si="38"/>
        <v>2023</v>
      </c>
      <c r="F110" s="29">
        <f t="shared" si="38"/>
        <v>2024</v>
      </c>
      <c r="G110" s="29">
        <f t="shared" si="38"/>
        <v>2025</v>
      </c>
      <c r="H110" s="23">
        <f t="shared" si="38"/>
        <v>2026</v>
      </c>
      <c r="I110" s="23">
        <f t="shared" si="38"/>
        <v>2027</v>
      </c>
      <c r="J110" s="23">
        <f t="shared" si="38"/>
        <v>2028</v>
      </c>
      <c r="K110" s="23">
        <f t="shared" si="38"/>
        <v>2029</v>
      </c>
      <c r="L110" s="23">
        <f t="shared" si="38"/>
        <v>2030</v>
      </c>
    </row>
    <row r="111" spans="2:14" outlineLevel="1" x14ac:dyDescent="0.15">
      <c r="B111" s="30" t="s">
        <v>80</v>
      </c>
      <c r="H111" s="99"/>
      <c r="I111" s="99"/>
      <c r="J111" s="99"/>
      <c r="K111" s="99"/>
      <c r="L111" s="99"/>
    </row>
    <row r="112" spans="2:14" outlineLevel="1" x14ac:dyDescent="0.15">
      <c r="B112" s="8" t="s">
        <v>42</v>
      </c>
      <c r="D112" s="192">
        <f>Hist!D93</f>
        <v>399.84399999999999</v>
      </c>
      <c r="E112" s="192">
        <f>Hist!E93</f>
        <v>481.94200000000001</v>
      </c>
      <c r="F112" s="192">
        <f>Hist!F93</f>
        <v>927.30100000000004</v>
      </c>
      <c r="G112" s="192">
        <f>Hist!G93</f>
        <v>932.91</v>
      </c>
      <c r="H112" s="96">
        <f>H66</f>
        <v>649.00271487040095</v>
      </c>
      <c r="I112" s="96">
        <f>I66</f>
        <v>534.58362706975322</v>
      </c>
      <c r="J112" s="96">
        <f>J66</f>
        <v>565.49034363343185</v>
      </c>
      <c r="K112" s="96">
        <f>K66</f>
        <v>618.00406782408095</v>
      </c>
      <c r="L112" s="96">
        <f>L66</f>
        <v>668.15313642670344</v>
      </c>
    </row>
    <row r="113" spans="2:14" outlineLevel="1" x14ac:dyDescent="0.15">
      <c r="B113" s="8" t="s">
        <v>37</v>
      </c>
      <c r="D113" s="192">
        <f>Hist!D94</f>
        <v>586.096</v>
      </c>
      <c r="E113" s="192">
        <f>Hist!E94</f>
        <v>540.42100000000005</v>
      </c>
      <c r="F113" s="192">
        <f>Hist!F94</f>
        <v>674.07600000000002</v>
      </c>
      <c r="G113" s="192">
        <f>Hist!G94</f>
        <v>760.64400000000001</v>
      </c>
      <c r="H113" s="96">
        <f>-H61</f>
        <v>900.94951000000015</v>
      </c>
      <c r="I113" s="96">
        <f>-I61</f>
        <v>1007.0100930814401</v>
      </c>
      <c r="J113" s="96">
        <f>-J61</f>
        <v>1050.1221835367537</v>
      </c>
      <c r="K113" s="96">
        <f>-K61</f>
        <v>1073.0985216670194</v>
      </c>
      <c r="L113" s="96">
        <f>-L61</f>
        <v>1088.2447790025751</v>
      </c>
    </row>
    <row r="114" spans="2:14" outlineLevel="1" x14ac:dyDescent="0.15">
      <c r="B114" s="8" t="s">
        <v>81</v>
      </c>
      <c r="D114" s="192">
        <f>Hist!D95</f>
        <v>209.97300000000001</v>
      </c>
      <c r="E114" s="192">
        <f>Hist!E95</f>
        <v>242.935</v>
      </c>
      <c r="F114" s="192">
        <f>Hist!F95</f>
        <v>294.142</v>
      </c>
      <c r="G114" s="192">
        <f>Hist!G95</f>
        <v>254.94</v>
      </c>
      <c r="H114" s="96">
        <f>-(H63+H64)</f>
        <v>335.96992</v>
      </c>
      <c r="I114" s="96">
        <f>-(I63+I64)</f>
        <v>391.3425717784703</v>
      </c>
      <c r="J114" s="96">
        <f>-(J63+J64)</f>
        <v>405.59686674345022</v>
      </c>
      <c r="K114" s="96">
        <f>-(K63+K64)</f>
        <v>413.76015437090751</v>
      </c>
      <c r="L114" s="96">
        <f>-(L63+L64)</f>
        <v>417.82789619851314</v>
      </c>
    </row>
    <row r="115" spans="2:14" outlineLevel="1" x14ac:dyDescent="0.15">
      <c r="B115" s="8" t="s">
        <v>82</v>
      </c>
      <c r="D115" s="192">
        <f>SUM(Hist!D96:D104)</f>
        <v>-129.81899999999999</v>
      </c>
      <c r="E115" s="192">
        <f>SUM(Hist!E96:E104)</f>
        <v>237.77600000000001</v>
      </c>
      <c r="F115" s="192">
        <f>SUM(Hist!F96:F104)</f>
        <v>66.420000000000016</v>
      </c>
      <c r="G115" s="192">
        <f>SUM(Hist!G96:G104)</f>
        <v>-407.18599999999992</v>
      </c>
      <c r="H115" s="96">
        <f>-H65</f>
        <v>0</v>
      </c>
      <c r="I115" s="96">
        <f>-I65</f>
        <v>0</v>
      </c>
      <c r="J115" s="96">
        <f>-J65</f>
        <v>0</v>
      </c>
      <c r="K115" s="96">
        <f>-K65</f>
        <v>0</v>
      </c>
      <c r="L115" s="96">
        <f>-L65</f>
        <v>0</v>
      </c>
      <c r="N115" s="17"/>
    </row>
    <row r="116" spans="2:14" outlineLevel="1" x14ac:dyDescent="0.15">
      <c r="B116" s="8" t="s">
        <v>83</v>
      </c>
      <c r="D116" s="192">
        <f>Hist!D105</f>
        <v>-97.881</v>
      </c>
      <c r="E116" s="192">
        <f>Hist!E105</f>
        <v>-83.644000000000005</v>
      </c>
      <c r="F116" s="192">
        <f>Hist!F105</f>
        <v>-283.52300000000002</v>
      </c>
      <c r="G116" s="192">
        <f>Hist!G105</f>
        <v>-355.23700000000002</v>
      </c>
      <c r="H116" s="96">
        <f>H67</f>
        <v>-168.74070586630424</v>
      </c>
      <c r="I116" s="96">
        <f>I67</f>
        <v>-138.99174303813584</v>
      </c>
      <c r="J116" s="96">
        <f>J67</f>
        <v>-147.0274893446923</v>
      </c>
      <c r="K116" s="96">
        <f>K67</f>
        <v>-160.68105763426107</v>
      </c>
      <c r="L116" s="96">
        <f>L67</f>
        <v>-173.7198154709429</v>
      </c>
    </row>
    <row r="117" spans="2:14" outlineLevel="1" x14ac:dyDescent="0.15">
      <c r="B117" s="8" t="s">
        <v>84</v>
      </c>
      <c r="D117" s="192">
        <f>SUM(Hist!D106:D108)</f>
        <v>-45.44</v>
      </c>
      <c r="E117" s="192">
        <f>SUM(Hist!E106:E108)</f>
        <v>65.220000000000013</v>
      </c>
      <c r="F117" s="192">
        <f>SUM(Hist!F106:F108)</f>
        <v>-2.3300000000000125</v>
      </c>
      <c r="G117" s="192">
        <f>SUM(Hist!G106:G108)</f>
        <v>30.782000000000004</v>
      </c>
      <c r="H117" s="96">
        <f>H168</f>
        <v>-56.602138099901367</v>
      </c>
      <c r="I117" s="96">
        <f>I168</f>
        <v>14.971100674830723</v>
      </c>
      <c r="J117" s="96">
        <f>J168</f>
        <v>0.44498924141089446</v>
      </c>
      <c r="K117" s="96">
        <f>K168</f>
        <v>0.41274020201990425</v>
      </c>
      <c r="L117" s="96">
        <f>L168</f>
        <v>0.40222301671064997</v>
      </c>
    </row>
    <row r="118" spans="2:14" outlineLevel="1" x14ac:dyDescent="0.15">
      <c r="B118" s="22" t="s">
        <v>85</v>
      </c>
      <c r="D118" s="193">
        <f t="shared" ref="D118:L118" si="39">SUM(D112:D117)</f>
        <v>922.77300000000014</v>
      </c>
      <c r="E118" s="193">
        <f t="shared" si="39"/>
        <v>1484.65</v>
      </c>
      <c r="F118" s="193">
        <f t="shared" si="39"/>
        <v>1676.0860000000002</v>
      </c>
      <c r="G118" s="193">
        <f t="shared" si="39"/>
        <v>1216.8530000000001</v>
      </c>
      <c r="H118" s="199">
        <f t="shared" si="39"/>
        <v>1660.5793009041954</v>
      </c>
      <c r="I118" s="199">
        <f t="shared" si="39"/>
        <v>1808.9156495663585</v>
      </c>
      <c r="J118" s="199">
        <f t="shared" si="39"/>
        <v>1874.6268938103544</v>
      </c>
      <c r="K118" s="199">
        <f t="shared" si="39"/>
        <v>1944.5944264297666</v>
      </c>
      <c r="L118" s="199">
        <f t="shared" si="39"/>
        <v>2000.9082191735595</v>
      </c>
    </row>
    <row r="119" spans="2:14" outlineLevel="1" x14ac:dyDescent="0.15">
      <c r="B119" s="8" t="s">
        <v>86</v>
      </c>
      <c r="D119" s="192">
        <f>Hist!D129</f>
        <v>-207.17699999999999</v>
      </c>
      <c r="E119" s="192">
        <f>Hist!E129</f>
        <v>-240.52799999999999</v>
      </c>
      <c r="F119" s="192">
        <f>Hist!F129</f>
        <v>-293.666</v>
      </c>
      <c r="G119" s="192">
        <f>Hist!G129</f>
        <v>-259.971</v>
      </c>
      <c r="H119" s="96">
        <f>H64</f>
        <v>-339.14350999999999</v>
      </c>
      <c r="I119" s="96">
        <f>I64</f>
        <v>-393.8425717784703</v>
      </c>
      <c r="J119" s="96">
        <f>J64</f>
        <v>-408.09686674345022</v>
      </c>
      <c r="K119" s="96">
        <f>K64</f>
        <v>-416.26015437090751</v>
      </c>
      <c r="L119" s="96">
        <f>L64</f>
        <v>-420.32789619851314</v>
      </c>
      <c r="N119" s="17"/>
    </row>
    <row r="120" spans="2:14" outlineLevel="1" x14ac:dyDescent="0.15">
      <c r="B120" s="22" t="s">
        <v>87</v>
      </c>
      <c r="D120" s="193">
        <f>D118+D119</f>
        <v>715.59600000000012</v>
      </c>
      <c r="E120" s="193">
        <f>E118+E119</f>
        <v>1244.1220000000001</v>
      </c>
      <c r="F120" s="193">
        <f>F118+F119</f>
        <v>1382.4200000000003</v>
      </c>
      <c r="G120" s="193">
        <f>G118+G119</f>
        <v>956.88200000000006</v>
      </c>
      <c r="H120" s="199">
        <f>SUM(H118:H119)</f>
        <v>1321.4357909041955</v>
      </c>
      <c r="I120" s="199">
        <f>SUM(I118:I119)</f>
        <v>1415.0730777878882</v>
      </c>
      <c r="J120" s="199">
        <f>SUM(J118:J119)</f>
        <v>1466.5300270669043</v>
      </c>
      <c r="K120" s="199">
        <f>SUM(K118:K119)</f>
        <v>1528.3342720588591</v>
      </c>
      <c r="L120" s="199">
        <f>SUM(L118:L119)</f>
        <v>1580.5803229750463</v>
      </c>
    </row>
    <row r="121" spans="2:14" outlineLevel="1" x14ac:dyDescent="0.15"/>
    <row r="122" spans="2:14" outlineLevel="1" x14ac:dyDescent="0.15">
      <c r="B122" s="30" t="s">
        <v>88</v>
      </c>
      <c r="H122" s="99"/>
      <c r="I122" s="99"/>
      <c r="J122" s="99"/>
      <c r="K122" s="99"/>
      <c r="L122" s="99"/>
    </row>
    <row r="123" spans="2:14" outlineLevel="1" x14ac:dyDescent="0.15">
      <c r="B123" s="8" t="s">
        <v>89</v>
      </c>
      <c r="D123" s="192">
        <f>Hist!D112</f>
        <v>-413.68299999999999</v>
      </c>
      <c r="E123" s="192">
        <f>Hist!E112</f>
        <v>-417.08300000000003</v>
      </c>
      <c r="F123" s="192">
        <f>Hist!F112</f>
        <v>-824.64700000000005</v>
      </c>
      <c r="G123" s="192">
        <f>Hist!G112</f>
        <v>-1224.4559999999999</v>
      </c>
      <c r="H123" s="96">
        <f>-H177</f>
        <v>-1149.9525273600002</v>
      </c>
      <c r="I123" s="96">
        <f>-I177</f>
        <v>-1020.4943156150403</v>
      </c>
      <c r="J123" s="96">
        <f>-J177</f>
        <v>-935.74508977483197</v>
      </c>
      <c r="K123" s="96">
        <f>-K177</f>
        <v>-903.92878570761047</v>
      </c>
      <c r="L123" s="96">
        <f>-L177</f>
        <v>-867.02256291905803</v>
      </c>
    </row>
    <row r="124" spans="2:14" outlineLevel="1" x14ac:dyDescent="0.15">
      <c r="B124" s="8" t="s">
        <v>90</v>
      </c>
      <c r="D124" s="192">
        <f>Hist!D113</f>
        <v>31.446999999999999</v>
      </c>
      <c r="E124" s="192">
        <f>Hist!E113</f>
        <v>7.34</v>
      </c>
      <c r="F124" s="192">
        <f>Hist!F113</f>
        <v>31.888000000000002</v>
      </c>
      <c r="G124" s="192">
        <f>Hist!G113</f>
        <v>35.244</v>
      </c>
      <c r="H124" s="201">
        <v>0</v>
      </c>
      <c r="I124" s="201">
        <v>0</v>
      </c>
      <c r="J124" s="201">
        <v>0</v>
      </c>
      <c r="K124" s="201">
        <v>0</v>
      </c>
      <c r="L124" s="201">
        <v>0</v>
      </c>
    </row>
    <row r="125" spans="2:14" outlineLevel="1" x14ac:dyDescent="0.15">
      <c r="B125" s="8" t="s">
        <v>91</v>
      </c>
      <c r="D125" s="192">
        <f>Hist!D114</f>
        <v>0</v>
      </c>
      <c r="E125" s="192">
        <f>Hist!E114</f>
        <v>119.02500000000001</v>
      </c>
      <c r="F125" s="192">
        <f>Hist!F114</f>
        <v>0</v>
      </c>
      <c r="G125" s="192">
        <f>Hist!G114</f>
        <v>0</v>
      </c>
      <c r="H125" s="201">
        <v>0</v>
      </c>
      <c r="I125" s="201">
        <v>0</v>
      </c>
      <c r="J125" s="201">
        <v>0</v>
      </c>
      <c r="K125" s="201">
        <v>0</v>
      </c>
      <c r="L125" s="201">
        <v>0</v>
      </c>
      <c r="N125" s="17"/>
    </row>
    <row r="126" spans="2:14" outlineLevel="1" x14ac:dyDescent="0.15">
      <c r="B126" s="8" t="s">
        <v>92</v>
      </c>
      <c r="D126" s="192">
        <f>SUM(Hist!D115:D117)</f>
        <v>0</v>
      </c>
      <c r="E126" s="192">
        <f>SUM(Hist!E115:E117)</f>
        <v>-101.184</v>
      </c>
      <c r="F126" s="192">
        <f>SUM(Hist!F115:F117)</f>
        <v>-1553.403</v>
      </c>
      <c r="G126" s="192">
        <f>SUM(Hist!G115:G117)</f>
        <v>-626.726</v>
      </c>
      <c r="H126" s="96">
        <f>Hist!E394+Hist!E395</f>
        <v>-416.19200000000001</v>
      </c>
      <c r="I126" s="201">
        <v>0</v>
      </c>
      <c r="J126" s="201">
        <v>0</v>
      </c>
      <c r="K126" s="201">
        <v>0</v>
      </c>
      <c r="L126" s="201">
        <v>0</v>
      </c>
      <c r="N126" s="17"/>
    </row>
    <row r="127" spans="2:14" outlineLevel="1" x14ac:dyDescent="0.15">
      <c r="B127" s="8" t="s">
        <v>93</v>
      </c>
      <c r="D127" s="192">
        <f>Hist!D118</f>
        <v>4.7E-2</v>
      </c>
      <c r="E127" s="192">
        <f>Hist!E118</f>
        <v>0.21099999999999999</v>
      </c>
      <c r="F127" s="192">
        <f>Hist!F118</f>
        <v>10.144</v>
      </c>
      <c r="G127" s="192">
        <f>Hist!G118</f>
        <v>6.1050000000000004</v>
      </c>
      <c r="H127" s="96">
        <f>H63</f>
        <v>3.1735899999999999</v>
      </c>
      <c r="I127" s="96">
        <f>I63</f>
        <v>2.5000000000000018</v>
      </c>
      <c r="J127" s="96">
        <f>J63</f>
        <v>2.5000000000000018</v>
      </c>
      <c r="K127" s="96">
        <f>K63</f>
        <v>2.5000000000000018</v>
      </c>
      <c r="L127" s="96">
        <f>L63</f>
        <v>2.5000000000000018</v>
      </c>
    </row>
    <row r="128" spans="2:14" outlineLevel="1" x14ac:dyDescent="0.15">
      <c r="B128" s="8" t="s">
        <v>94</v>
      </c>
      <c r="D128" s="192">
        <f>SUM(Hist!D119:D121)</f>
        <v>0</v>
      </c>
      <c r="E128" s="192">
        <f>SUM(Hist!E119:E121)</f>
        <v>-4.37</v>
      </c>
      <c r="F128" s="192">
        <f>SUM(Hist!F119:F121)</f>
        <v>0.19999999999999996</v>
      </c>
      <c r="G128" s="192">
        <f>SUM(Hist!G119:G121)</f>
        <v>-62.300000000000004</v>
      </c>
      <c r="H128" s="96">
        <f>Hist!E397+Hist!E398</f>
        <v>-111.25800000000001</v>
      </c>
      <c r="I128" s="201">
        <v>0</v>
      </c>
      <c r="J128" s="201">
        <v>0</v>
      </c>
      <c r="K128" s="201">
        <v>0</v>
      </c>
      <c r="L128" s="201">
        <v>0</v>
      </c>
      <c r="N128" s="17"/>
    </row>
    <row r="129" spans="2:14" outlineLevel="1" x14ac:dyDescent="0.15">
      <c r="B129" s="22" t="s">
        <v>95</v>
      </c>
      <c r="D129" s="193">
        <f t="shared" ref="D129:L129" si="40">SUM(D123:D128)</f>
        <v>-382.18899999999996</v>
      </c>
      <c r="E129" s="193">
        <f t="shared" si="40"/>
        <v>-396.06100000000004</v>
      </c>
      <c r="F129" s="193">
        <f t="shared" si="40"/>
        <v>-2335.8180000000007</v>
      </c>
      <c r="G129" s="193">
        <f t="shared" si="40"/>
        <v>-1872.133</v>
      </c>
      <c r="H129" s="199">
        <f t="shared" si="40"/>
        <v>-1674.2289373600001</v>
      </c>
      <c r="I129" s="199">
        <f t="shared" si="40"/>
        <v>-1017.9943156150403</v>
      </c>
      <c r="J129" s="199">
        <f t="shared" si="40"/>
        <v>-933.24508977483197</v>
      </c>
      <c r="K129" s="199">
        <f t="shared" si="40"/>
        <v>-901.42878570761047</v>
      </c>
      <c r="L129" s="199">
        <f t="shared" si="40"/>
        <v>-864.52256291905803</v>
      </c>
    </row>
    <row r="130" spans="2:14" outlineLevel="1" x14ac:dyDescent="0.15"/>
    <row r="131" spans="2:14" outlineLevel="1" x14ac:dyDescent="0.15">
      <c r="B131" s="30" t="s">
        <v>96</v>
      </c>
      <c r="H131" s="99"/>
      <c r="I131" s="99"/>
      <c r="J131" s="99"/>
      <c r="K131" s="99"/>
      <c r="L131" s="99"/>
    </row>
    <row r="132" spans="2:14" outlineLevel="1" x14ac:dyDescent="0.15">
      <c r="B132" s="8" t="s">
        <v>97</v>
      </c>
      <c r="D132" s="192">
        <f>Hist!D125</f>
        <v>-143.45099999999999</v>
      </c>
      <c r="E132" s="192">
        <f>Hist!E125</f>
        <v>-137.34299999999999</v>
      </c>
      <c r="F132" s="192">
        <f>Hist!F125</f>
        <v>-147.215</v>
      </c>
      <c r="G132" s="192">
        <f>Hist!G125</f>
        <v>-148.43299999999999</v>
      </c>
      <c r="H132" s="96">
        <f>H208</f>
        <v>-195.35183999999998</v>
      </c>
      <c r="I132" s="96">
        <f>I208</f>
        <v>-259.98297316992</v>
      </c>
      <c r="J132" s="96">
        <f>J208</f>
        <v>-252.83097426908162</v>
      </c>
      <c r="K132" s="96">
        <f>K208</f>
        <v>-251.64335215059612</v>
      </c>
      <c r="L132" s="96">
        <f>L208</f>
        <v>-254.02727762059288</v>
      </c>
    </row>
    <row r="133" spans="2:14" outlineLevel="1" x14ac:dyDescent="0.15">
      <c r="B133" s="8" t="s">
        <v>98</v>
      </c>
      <c r="D133" s="192">
        <f>Hist!D126</f>
        <v>400.91500000000002</v>
      </c>
      <c r="E133" s="192">
        <f>Hist!E126</f>
        <v>285.80700000000002</v>
      </c>
      <c r="F133" s="192">
        <f>Hist!F126</f>
        <v>1599.0050000000001</v>
      </c>
      <c r="G133" s="192">
        <f>Hist!G126</f>
        <v>1305.576</v>
      </c>
      <c r="H133" s="96">
        <f>MAX(H201,0)</f>
        <v>860.59103245580468</v>
      </c>
      <c r="I133" s="96">
        <f>MAX(I201,0)</f>
        <v>310.91256199707169</v>
      </c>
      <c r="J133" s="96">
        <f>MAX(J201,0)</f>
        <v>167.55438797700896</v>
      </c>
      <c r="K133" s="96">
        <f>MAX(K201,0)</f>
        <v>72.74621679934711</v>
      </c>
      <c r="L133" s="96">
        <f>MAX(L201,0)</f>
        <v>0</v>
      </c>
    </row>
    <row r="134" spans="2:14" outlineLevel="1" x14ac:dyDescent="0.15">
      <c r="B134" s="8" t="s">
        <v>99</v>
      </c>
      <c r="D134" s="192">
        <f>Hist!D127</f>
        <v>-214.66300000000001</v>
      </c>
      <c r="E134" s="192">
        <f>Hist!E127</f>
        <v>-294.86799999999999</v>
      </c>
      <c r="F134" s="192">
        <f>Hist!F127</f>
        <v>-317.80900000000003</v>
      </c>
      <c r="G134" s="192">
        <f>Hist!G127</f>
        <v>-508.67200000000003</v>
      </c>
      <c r="H134" s="96">
        <f>MIN(H201,0)</f>
        <v>0</v>
      </c>
      <c r="I134" s="96">
        <f>MIN(I201,0)</f>
        <v>0</v>
      </c>
      <c r="J134" s="96">
        <f>MIN(J201,0)</f>
        <v>0</v>
      </c>
      <c r="K134" s="96">
        <f>MIN(K201,0)</f>
        <v>0</v>
      </c>
      <c r="L134" s="96">
        <f>MIN(L201,0)</f>
        <v>-14.02213143539575</v>
      </c>
    </row>
    <row r="135" spans="2:14" outlineLevel="1" x14ac:dyDescent="0.15">
      <c r="B135" s="8" t="s">
        <v>100</v>
      </c>
      <c r="D135" s="192">
        <f>Hist!D128</f>
        <v>-253.012</v>
      </c>
      <c r="E135" s="192">
        <f>Hist!E128</f>
        <v>-286.601</v>
      </c>
      <c r="F135" s="192">
        <f>Hist!F128</f>
        <v>-449.83</v>
      </c>
      <c r="G135" s="192">
        <f>Hist!G128</f>
        <v>-274.83999999999997</v>
      </c>
      <c r="H135" s="96">
        <f>-G77*G78</f>
        <v>-447.16404599999998</v>
      </c>
      <c r="I135" s="96">
        <f>-H77*H78</f>
        <v>-448.008351</v>
      </c>
      <c r="J135" s="96">
        <f>-I77*I78</f>
        <v>-448.008351</v>
      </c>
      <c r="K135" s="96">
        <f>-J77*J78</f>
        <v>-448.008351</v>
      </c>
      <c r="L135" s="96">
        <f>-K77*K78</f>
        <v>-448.008351</v>
      </c>
    </row>
    <row r="136" spans="2:14" outlineLevel="1" x14ac:dyDescent="0.15">
      <c r="B136" s="8" t="s">
        <v>101</v>
      </c>
      <c r="D136" s="192">
        <f>Hist!D134</f>
        <v>0</v>
      </c>
      <c r="E136" s="192">
        <f>Hist!E134</f>
        <v>0</v>
      </c>
      <c r="F136" s="192">
        <f>Hist!F134</f>
        <v>392</v>
      </c>
      <c r="G136" s="192">
        <f>Hist!G134</f>
        <v>0</v>
      </c>
      <c r="H136" s="201">
        <v>0</v>
      </c>
      <c r="I136" s="201">
        <v>0</v>
      </c>
      <c r="J136" s="201">
        <v>0</v>
      </c>
      <c r="K136" s="201">
        <v>0</v>
      </c>
      <c r="L136" s="201">
        <v>0</v>
      </c>
      <c r="N136" s="17"/>
    </row>
    <row r="137" spans="2:14" outlineLevel="1" x14ac:dyDescent="0.15">
      <c r="B137" s="8" t="s">
        <v>102</v>
      </c>
      <c r="D137" s="192">
        <f>Hist!D130+Hist!D131+Hist!D132+Hist!D133+Hist!D135</f>
        <v>121.06399999999998</v>
      </c>
      <c r="E137" s="192">
        <f>Hist!E130+Hist!E131+Hist!E132+Hist!E133+Hist!E135</f>
        <v>17.241999999999997</v>
      </c>
      <c r="F137" s="192">
        <f>Hist!F130+Hist!F131+Hist!F132+Hist!F133+Hist!F135</f>
        <v>27.170999999999999</v>
      </c>
      <c r="G137" s="192">
        <f>Hist!G130+Hist!G131+Hist!G132+Hist!G133+Hist!G135</f>
        <v>-34.502000000000002</v>
      </c>
      <c r="H137" s="201">
        <v>0</v>
      </c>
      <c r="I137" s="201">
        <v>0</v>
      </c>
      <c r="J137" s="201">
        <v>0</v>
      </c>
      <c r="K137" s="201">
        <v>0</v>
      </c>
      <c r="L137" s="201">
        <v>0</v>
      </c>
      <c r="N137" s="17"/>
    </row>
    <row r="138" spans="2:14" outlineLevel="1" x14ac:dyDescent="0.15">
      <c r="B138" s="22" t="s">
        <v>103</v>
      </c>
      <c r="D138" s="193">
        <f t="shared" ref="D138:L138" si="41">SUM(D132:D137)</f>
        <v>-89.146999999999977</v>
      </c>
      <c r="E138" s="193">
        <f t="shared" si="41"/>
        <v>-415.76299999999998</v>
      </c>
      <c r="F138" s="193">
        <f t="shared" si="41"/>
        <v>1103.3220000000003</v>
      </c>
      <c r="G138" s="193">
        <f t="shared" si="41"/>
        <v>339.12900000000002</v>
      </c>
      <c r="H138" s="193">
        <f t="shared" si="41"/>
        <v>218.07514645580466</v>
      </c>
      <c r="I138" s="193">
        <f t="shared" si="41"/>
        <v>-397.07876217284831</v>
      </c>
      <c r="J138" s="193">
        <f t="shared" si="41"/>
        <v>-533.28493729207264</v>
      </c>
      <c r="K138" s="193">
        <f t="shared" si="41"/>
        <v>-626.90548635124901</v>
      </c>
      <c r="L138" s="193">
        <f t="shared" si="41"/>
        <v>-716.05776005598864</v>
      </c>
    </row>
    <row r="139" spans="2:14" outlineLevel="1" x14ac:dyDescent="0.15"/>
    <row r="140" spans="2:14" outlineLevel="1" x14ac:dyDescent="0.15">
      <c r="B140" s="22" t="s">
        <v>104</v>
      </c>
      <c r="D140" s="202">
        <f t="shared" ref="D140:L140" si="42">D120+D129+D138</f>
        <v>244.26000000000016</v>
      </c>
      <c r="E140" s="202">
        <f t="shared" si="42"/>
        <v>432.29800000000006</v>
      </c>
      <c r="F140" s="202">
        <f t="shared" si="42"/>
        <v>149.92399999999998</v>
      </c>
      <c r="G140" s="202">
        <f t="shared" si="42"/>
        <v>-576.12199999999996</v>
      </c>
      <c r="H140" s="202">
        <f t="shared" si="42"/>
        <v>-134.71799999999996</v>
      </c>
      <c r="I140" s="202">
        <f t="shared" si="42"/>
        <v>0</v>
      </c>
      <c r="J140" s="202">
        <f t="shared" si="42"/>
        <v>0</v>
      </c>
      <c r="K140" s="202">
        <f t="shared" si="42"/>
        <v>0</v>
      </c>
      <c r="L140" s="202">
        <f t="shared" si="42"/>
        <v>0</v>
      </c>
    </row>
    <row r="141" spans="2:14" outlineLevel="1" x14ac:dyDescent="0.15">
      <c r="B141" s="8" t="s">
        <v>105</v>
      </c>
      <c r="D141" s="192">
        <f>Hist!D140</f>
        <v>-9.3350000000000009</v>
      </c>
      <c r="E141" s="192">
        <f>Hist!E140</f>
        <v>12.359</v>
      </c>
      <c r="F141" s="192">
        <f>Hist!F140</f>
        <v>8.9760000000000009</v>
      </c>
      <c r="G141" s="192">
        <f>Hist!G140</f>
        <v>-19.158999999999999</v>
      </c>
      <c r="H141" s="201">
        <v>0</v>
      </c>
      <c r="I141" s="201">
        <v>0</v>
      </c>
      <c r="J141" s="201">
        <v>0</v>
      </c>
      <c r="K141" s="201">
        <v>0</v>
      </c>
      <c r="L141" s="201">
        <v>0</v>
      </c>
    </row>
    <row r="142" spans="2:14" outlineLevel="1" x14ac:dyDescent="0.15">
      <c r="B142" s="8" t="s">
        <v>106</v>
      </c>
      <c r="D142" s="192">
        <f>Hist!D141</f>
        <v>391.517</v>
      </c>
      <c r="E142" s="196">
        <f t="shared" ref="E142:L142" si="43">D143</f>
        <v>626.44200000000012</v>
      </c>
      <c r="F142" s="196">
        <f t="shared" si="43"/>
        <v>1071.0990000000002</v>
      </c>
      <c r="G142" s="196">
        <f t="shared" si="43"/>
        <v>1229.9990000000003</v>
      </c>
      <c r="H142" s="96">
        <f t="shared" si="43"/>
        <v>634.7180000000003</v>
      </c>
      <c r="I142" s="96">
        <f t="shared" si="43"/>
        <v>500.00000000000034</v>
      </c>
      <c r="J142" s="96">
        <f t="shared" si="43"/>
        <v>500.00000000000034</v>
      </c>
      <c r="K142" s="96">
        <f t="shared" si="43"/>
        <v>500.00000000000034</v>
      </c>
      <c r="L142" s="96">
        <f t="shared" si="43"/>
        <v>500.00000000000034</v>
      </c>
    </row>
    <row r="143" spans="2:14" outlineLevel="1" x14ac:dyDescent="0.15">
      <c r="B143" s="22" t="s">
        <v>107</v>
      </c>
      <c r="D143" s="193">
        <f t="shared" ref="D143:L143" si="44">D142+D140+D141</f>
        <v>626.44200000000012</v>
      </c>
      <c r="E143" s="193">
        <f t="shared" si="44"/>
        <v>1071.0990000000002</v>
      </c>
      <c r="F143" s="193">
        <f t="shared" si="44"/>
        <v>1229.9990000000003</v>
      </c>
      <c r="G143" s="193">
        <f t="shared" si="44"/>
        <v>634.7180000000003</v>
      </c>
      <c r="H143" s="193">
        <f t="shared" si="44"/>
        <v>500.00000000000034</v>
      </c>
      <c r="I143" s="193">
        <f t="shared" si="44"/>
        <v>500.00000000000034</v>
      </c>
      <c r="J143" s="193">
        <f t="shared" si="44"/>
        <v>500.00000000000034</v>
      </c>
      <c r="K143" s="193">
        <f t="shared" si="44"/>
        <v>500.00000000000034</v>
      </c>
      <c r="L143" s="193">
        <f t="shared" si="44"/>
        <v>500.00000000000034</v>
      </c>
    </row>
    <row r="144" spans="2:14" outlineLevel="1" x14ac:dyDescent="0.15">
      <c r="B144" s="31" t="s">
        <v>108</v>
      </c>
      <c r="D144" s="195">
        <f t="shared" ref="D144:L144" si="45">ROUND(D143-D83,1)</f>
        <v>0</v>
      </c>
      <c r="E144" s="195">
        <f t="shared" si="45"/>
        <v>0</v>
      </c>
      <c r="F144" s="195">
        <f t="shared" si="45"/>
        <v>0</v>
      </c>
      <c r="G144" s="195">
        <f t="shared" si="45"/>
        <v>0</v>
      </c>
      <c r="H144" s="195">
        <f t="shared" si="45"/>
        <v>0</v>
      </c>
      <c r="I144" s="195">
        <f t="shared" si="45"/>
        <v>0</v>
      </c>
      <c r="J144" s="195">
        <f t="shared" si="45"/>
        <v>0</v>
      </c>
      <c r="K144" s="195">
        <f t="shared" si="45"/>
        <v>0</v>
      </c>
      <c r="L144" s="195">
        <f t="shared" si="45"/>
        <v>0</v>
      </c>
    </row>
    <row r="145" spans="2:14" outlineLevel="1" x14ac:dyDescent="0.15">
      <c r="B145" s="31"/>
      <c r="D145" s="195"/>
      <c r="E145" s="195"/>
      <c r="F145" s="195"/>
      <c r="G145" s="195"/>
      <c r="H145" s="200"/>
      <c r="I145" s="200"/>
      <c r="J145" s="200"/>
      <c r="K145" s="200"/>
      <c r="L145" s="200"/>
    </row>
    <row r="146" spans="2:14" outlineLevel="1" x14ac:dyDescent="0.15">
      <c r="B146" s="31"/>
      <c r="D146" s="195"/>
      <c r="E146" s="195"/>
      <c r="F146" s="195"/>
      <c r="G146" s="195"/>
      <c r="H146" s="200"/>
      <c r="I146" s="200"/>
      <c r="J146" s="200"/>
      <c r="K146" s="200"/>
      <c r="L146" s="200"/>
    </row>
    <row r="147" spans="2:14" outlineLevel="1" x14ac:dyDescent="0.15">
      <c r="B147" s="31"/>
      <c r="D147" s="195"/>
      <c r="E147" s="195"/>
      <c r="F147" s="195"/>
      <c r="G147" s="195"/>
      <c r="H147" s="195"/>
      <c r="I147" s="195"/>
      <c r="J147" s="195"/>
      <c r="K147" s="195"/>
      <c r="L147" s="195"/>
    </row>
    <row r="148" spans="2:14" outlineLevel="1" x14ac:dyDescent="0.15"/>
    <row r="149" spans="2:14" outlineLevel="1" x14ac:dyDescent="0.15">
      <c r="B149" s="30" t="s">
        <v>109</v>
      </c>
      <c r="H149" s="99"/>
      <c r="I149" s="99"/>
      <c r="J149" s="99"/>
      <c r="K149" s="99"/>
      <c r="L149" s="99"/>
    </row>
    <row r="150" spans="2:14" outlineLevel="1" x14ac:dyDescent="0.15">
      <c r="B150" s="8" t="s">
        <v>87</v>
      </c>
      <c r="D150" s="196">
        <f t="shared" ref="D150:L150" si="46">D120</f>
        <v>715.59600000000012</v>
      </c>
      <c r="E150" s="196">
        <f t="shared" si="46"/>
        <v>1244.1220000000001</v>
      </c>
      <c r="F150" s="196">
        <f t="shared" si="46"/>
        <v>1382.4200000000003</v>
      </c>
      <c r="G150" s="196">
        <f t="shared" si="46"/>
        <v>956.88200000000006</v>
      </c>
      <c r="H150" s="196">
        <f t="shared" si="46"/>
        <v>1321.4357909041955</v>
      </c>
      <c r="I150" s="196">
        <f t="shared" si="46"/>
        <v>1415.0730777878882</v>
      </c>
      <c r="J150" s="196">
        <f t="shared" si="46"/>
        <v>1466.5300270669043</v>
      </c>
      <c r="K150" s="196">
        <f t="shared" si="46"/>
        <v>1528.3342720588591</v>
      </c>
      <c r="L150" s="196">
        <f t="shared" si="46"/>
        <v>1580.5803229750463</v>
      </c>
    </row>
    <row r="151" spans="2:14" outlineLevel="1" x14ac:dyDescent="0.15">
      <c r="B151" s="8" t="s">
        <v>89</v>
      </c>
      <c r="D151" s="196">
        <f t="shared" ref="D151:L151" si="47">D123</f>
        <v>-413.68299999999999</v>
      </c>
      <c r="E151" s="196">
        <f t="shared" si="47"/>
        <v>-417.08300000000003</v>
      </c>
      <c r="F151" s="196">
        <f t="shared" si="47"/>
        <v>-824.64700000000005</v>
      </c>
      <c r="G151" s="196">
        <f t="shared" si="47"/>
        <v>-1224.4559999999999</v>
      </c>
      <c r="H151" s="196">
        <f t="shared" si="47"/>
        <v>-1149.9525273600002</v>
      </c>
      <c r="I151" s="196">
        <f t="shared" si="47"/>
        <v>-1020.4943156150403</v>
      </c>
      <c r="J151" s="196">
        <f t="shared" si="47"/>
        <v>-935.74508977483197</v>
      </c>
      <c r="K151" s="196">
        <f t="shared" si="47"/>
        <v>-903.92878570761047</v>
      </c>
      <c r="L151" s="196">
        <f t="shared" si="47"/>
        <v>-867.02256291905803</v>
      </c>
    </row>
    <row r="152" spans="2:14" outlineLevel="1" x14ac:dyDescent="0.15">
      <c r="B152" s="8" t="s">
        <v>90</v>
      </c>
      <c r="D152" s="196">
        <f t="shared" ref="D152:L152" si="48">D124</f>
        <v>31.446999999999999</v>
      </c>
      <c r="E152" s="196">
        <f t="shared" si="48"/>
        <v>7.34</v>
      </c>
      <c r="F152" s="196">
        <f t="shared" si="48"/>
        <v>31.888000000000002</v>
      </c>
      <c r="G152" s="196">
        <f t="shared" si="48"/>
        <v>35.244</v>
      </c>
      <c r="H152" s="196">
        <f t="shared" si="48"/>
        <v>0</v>
      </c>
      <c r="I152" s="196">
        <f t="shared" si="48"/>
        <v>0</v>
      </c>
      <c r="J152" s="196">
        <f t="shared" si="48"/>
        <v>0</v>
      </c>
      <c r="K152" s="196">
        <f t="shared" si="48"/>
        <v>0</v>
      </c>
      <c r="L152" s="196">
        <f t="shared" si="48"/>
        <v>0</v>
      </c>
      <c r="N152" s="17"/>
    </row>
    <row r="153" spans="2:14" outlineLevel="1" x14ac:dyDescent="0.15">
      <c r="B153" s="8" t="s">
        <v>93</v>
      </c>
      <c r="D153" s="196">
        <f t="shared" ref="D153:L153" si="49">D127</f>
        <v>4.7E-2</v>
      </c>
      <c r="E153" s="196">
        <f t="shared" si="49"/>
        <v>0.21099999999999999</v>
      </c>
      <c r="F153" s="196">
        <f t="shared" si="49"/>
        <v>10.144</v>
      </c>
      <c r="G153" s="196">
        <f t="shared" si="49"/>
        <v>6.1050000000000004</v>
      </c>
      <c r="H153" s="196">
        <f t="shared" si="49"/>
        <v>3.1735899999999999</v>
      </c>
      <c r="I153" s="196">
        <f t="shared" si="49"/>
        <v>2.5000000000000018</v>
      </c>
      <c r="J153" s="196">
        <f t="shared" si="49"/>
        <v>2.5000000000000018</v>
      </c>
      <c r="K153" s="196">
        <f t="shared" si="49"/>
        <v>2.5000000000000018</v>
      </c>
      <c r="L153" s="196">
        <f t="shared" si="49"/>
        <v>2.5000000000000018</v>
      </c>
    </row>
    <row r="154" spans="2:14" outlineLevel="1" x14ac:dyDescent="0.15">
      <c r="B154" s="8" t="s">
        <v>97</v>
      </c>
      <c r="D154" s="196">
        <f t="shared" ref="D154:L154" si="50">D132</f>
        <v>-143.45099999999999</v>
      </c>
      <c r="E154" s="196">
        <f t="shared" si="50"/>
        <v>-137.34299999999999</v>
      </c>
      <c r="F154" s="196">
        <f t="shared" si="50"/>
        <v>-147.215</v>
      </c>
      <c r="G154" s="196">
        <f t="shared" si="50"/>
        <v>-148.43299999999999</v>
      </c>
      <c r="H154" s="196">
        <f t="shared" si="50"/>
        <v>-195.35183999999998</v>
      </c>
      <c r="I154" s="196">
        <f t="shared" si="50"/>
        <v>-259.98297316992</v>
      </c>
      <c r="J154" s="196">
        <f t="shared" si="50"/>
        <v>-252.83097426908162</v>
      </c>
      <c r="K154" s="196">
        <f t="shared" si="50"/>
        <v>-251.64335215059612</v>
      </c>
      <c r="L154" s="196">
        <f t="shared" si="50"/>
        <v>-254.02727762059288</v>
      </c>
    </row>
    <row r="155" spans="2:14" outlineLevel="1" x14ac:dyDescent="0.15">
      <c r="B155" s="22" t="s">
        <v>110</v>
      </c>
      <c r="D155" s="193">
        <f t="shared" ref="D155:L155" si="51">SUM(D150:D154)</f>
        <v>189.95600000000016</v>
      </c>
      <c r="E155" s="193">
        <f t="shared" si="51"/>
        <v>697.24700000000007</v>
      </c>
      <c r="F155" s="193">
        <f t="shared" si="51"/>
        <v>452.59000000000026</v>
      </c>
      <c r="G155" s="193">
        <f t="shared" si="51"/>
        <v>-374.65799999999984</v>
      </c>
      <c r="H155" s="193">
        <f t="shared" si="51"/>
        <v>-20.694986455804667</v>
      </c>
      <c r="I155" s="193">
        <f t="shared" si="51"/>
        <v>137.09578900292797</v>
      </c>
      <c r="J155" s="193">
        <f t="shared" si="51"/>
        <v>280.45396302299071</v>
      </c>
      <c r="K155" s="193">
        <f t="shared" si="51"/>
        <v>375.26213420065255</v>
      </c>
      <c r="L155" s="193">
        <f t="shared" si="51"/>
        <v>462.03048243539541</v>
      </c>
    </row>
    <row r="156" spans="2:14" outlineLevel="1" x14ac:dyDescent="0.15">
      <c r="B156" s="8" t="s">
        <v>100</v>
      </c>
      <c r="D156" s="196">
        <f t="shared" ref="D156:L156" si="52">D135</f>
        <v>-253.012</v>
      </c>
      <c r="E156" s="196">
        <f t="shared" si="52"/>
        <v>-286.601</v>
      </c>
      <c r="F156" s="196">
        <f t="shared" si="52"/>
        <v>-449.83</v>
      </c>
      <c r="G156" s="196">
        <f t="shared" si="52"/>
        <v>-274.83999999999997</v>
      </c>
      <c r="H156" s="196">
        <f t="shared" si="52"/>
        <v>-447.16404599999998</v>
      </c>
      <c r="I156" s="196">
        <f t="shared" si="52"/>
        <v>-448.008351</v>
      </c>
      <c r="J156" s="196">
        <f t="shared" si="52"/>
        <v>-448.008351</v>
      </c>
      <c r="K156" s="196">
        <f t="shared" si="52"/>
        <v>-448.008351</v>
      </c>
      <c r="L156" s="196">
        <f t="shared" si="52"/>
        <v>-448.008351</v>
      </c>
    </row>
    <row r="157" spans="2:14" outlineLevel="1" x14ac:dyDescent="0.15">
      <c r="B157" s="22" t="s">
        <v>111</v>
      </c>
      <c r="D157" s="193">
        <f t="shared" ref="D157:L157" si="53">D155+D156</f>
        <v>-63.055999999999841</v>
      </c>
      <c r="E157" s="193">
        <f t="shared" si="53"/>
        <v>410.64600000000007</v>
      </c>
      <c r="F157" s="193">
        <f t="shared" si="53"/>
        <v>2.7600000000002751</v>
      </c>
      <c r="G157" s="193">
        <f t="shared" si="53"/>
        <v>-649.49799999999982</v>
      </c>
      <c r="H157" s="193">
        <f t="shared" si="53"/>
        <v>-467.85903245580465</v>
      </c>
      <c r="I157" s="193">
        <f t="shared" si="53"/>
        <v>-310.91256199707203</v>
      </c>
      <c r="J157" s="193">
        <f t="shared" si="53"/>
        <v>-167.5543879770093</v>
      </c>
      <c r="K157" s="193">
        <f t="shared" si="53"/>
        <v>-72.746216799347451</v>
      </c>
      <c r="L157" s="193">
        <f t="shared" si="53"/>
        <v>14.022131435395409</v>
      </c>
    </row>
    <row r="158" spans="2:14" outlineLevel="1" x14ac:dyDescent="0.15">
      <c r="B158" s="8" t="s">
        <v>92</v>
      </c>
      <c r="D158" s="196">
        <f t="shared" ref="D158:L158" si="54">D126</f>
        <v>0</v>
      </c>
      <c r="E158" s="196">
        <f t="shared" si="54"/>
        <v>-101.184</v>
      </c>
      <c r="F158" s="196">
        <f t="shared" si="54"/>
        <v>-1553.403</v>
      </c>
      <c r="G158" s="196">
        <f t="shared" si="54"/>
        <v>-626.726</v>
      </c>
      <c r="H158" s="196">
        <f t="shared" si="54"/>
        <v>-416.19200000000001</v>
      </c>
      <c r="I158" s="196">
        <f t="shared" si="54"/>
        <v>0</v>
      </c>
      <c r="J158" s="196">
        <f t="shared" si="54"/>
        <v>0</v>
      </c>
      <c r="K158" s="196">
        <f t="shared" si="54"/>
        <v>0</v>
      </c>
      <c r="L158" s="196">
        <f t="shared" si="54"/>
        <v>0</v>
      </c>
    </row>
    <row r="159" spans="2:14" outlineLevel="1" x14ac:dyDescent="0.15">
      <c r="B159" s="22" t="s">
        <v>112</v>
      </c>
      <c r="D159" s="193">
        <f t="shared" ref="D159:L159" si="55">D157+D158</f>
        <v>-63.055999999999841</v>
      </c>
      <c r="E159" s="193">
        <f t="shared" si="55"/>
        <v>309.4620000000001</v>
      </c>
      <c r="F159" s="193">
        <f t="shared" si="55"/>
        <v>-1550.6429999999998</v>
      </c>
      <c r="G159" s="193">
        <f t="shared" si="55"/>
        <v>-1276.2239999999997</v>
      </c>
      <c r="H159" s="193">
        <f t="shared" si="55"/>
        <v>-884.05103245580472</v>
      </c>
      <c r="I159" s="193">
        <f t="shared" si="55"/>
        <v>-310.91256199707203</v>
      </c>
      <c r="J159" s="193">
        <f t="shared" si="55"/>
        <v>-167.5543879770093</v>
      </c>
      <c r="K159" s="193">
        <f t="shared" si="55"/>
        <v>-72.746216799347451</v>
      </c>
      <c r="L159" s="193">
        <f t="shared" si="55"/>
        <v>14.022131435395409</v>
      </c>
    </row>
    <row r="160" spans="2:14" outlineLevel="1" x14ac:dyDescent="0.15">
      <c r="B160" s="8" t="s">
        <v>113</v>
      </c>
      <c r="D160" s="196">
        <f t="shared" ref="D160:L160" si="56">D118+D123</f>
        <v>509.09000000000015</v>
      </c>
      <c r="E160" s="196">
        <f t="shared" si="56"/>
        <v>1067.567</v>
      </c>
      <c r="F160" s="196">
        <f t="shared" si="56"/>
        <v>851.43900000000019</v>
      </c>
      <c r="G160" s="196">
        <f t="shared" si="56"/>
        <v>-7.6029999999998381</v>
      </c>
      <c r="H160" s="196">
        <f t="shared" si="56"/>
        <v>510.6267735441952</v>
      </c>
      <c r="I160" s="196">
        <f t="shared" si="56"/>
        <v>788.42133395131827</v>
      </c>
      <c r="J160" s="196">
        <f t="shared" si="56"/>
        <v>938.88180403552246</v>
      </c>
      <c r="K160" s="196">
        <f t="shared" si="56"/>
        <v>1040.6656407221562</v>
      </c>
      <c r="L160" s="196">
        <f t="shared" si="56"/>
        <v>1133.8856562545016</v>
      </c>
    </row>
    <row r="161" spans="1:14" outlineLevel="1" x14ac:dyDescent="0.15"/>
    <row r="162" spans="1:14" ht="18" customHeight="1" x14ac:dyDescent="0.15">
      <c r="A162" s="78"/>
      <c r="B162" s="90" t="s">
        <v>114</v>
      </c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78"/>
      <c r="N162" s="78"/>
    </row>
    <row r="163" spans="1:14" outlineLevel="1" x14ac:dyDescent="0.15">
      <c r="A163" s="78"/>
      <c r="B163" s="82" t="s">
        <v>8</v>
      </c>
      <c r="C163" s="78"/>
      <c r="D163" s="93">
        <f t="shared" ref="D163:L163" si="57">D$4</f>
        <v>2022</v>
      </c>
      <c r="E163" s="93">
        <f t="shared" si="57"/>
        <v>2023</v>
      </c>
      <c r="F163" s="93">
        <f t="shared" si="57"/>
        <v>2024</v>
      </c>
      <c r="G163" s="93">
        <f t="shared" si="57"/>
        <v>2025</v>
      </c>
      <c r="H163" s="94">
        <f t="shared" si="57"/>
        <v>2026</v>
      </c>
      <c r="I163" s="94">
        <f t="shared" si="57"/>
        <v>2027</v>
      </c>
      <c r="J163" s="94">
        <f t="shared" si="57"/>
        <v>2028</v>
      </c>
      <c r="K163" s="94">
        <f t="shared" si="57"/>
        <v>2029</v>
      </c>
      <c r="L163" s="94">
        <f t="shared" si="57"/>
        <v>2030</v>
      </c>
      <c r="M163" s="78"/>
      <c r="N163" s="78"/>
    </row>
    <row r="164" spans="1:14" outlineLevel="1" x14ac:dyDescent="0.15">
      <c r="A164" s="78"/>
      <c r="B164" s="87" t="s">
        <v>57</v>
      </c>
      <c r="C164" s="78"/>
      <c r="D164" s="96">
        <f t="shared" ref="D164:G165" si="58">D84</f>
        <v>997.98900000000003</v>
      </c>
      <c r="E164" s="96">
        <f t="shared" si="58"/>
        <v>1119.9380000000001</v>
      </c>
      <c r="F164" s="96">
        <f t="shared" si="58"/>
        <v>1451.404</v>
      </c>
      <c r="G164" s="96">
        <f t="shared" si="58"/>
        <v>1338.4290000000001</v>
      </c>
      <c r="H164" s="96">
        <f>H16*Inputs!H82/365</f>
        <v>1449.2552399605481</v>
      </c>
      <c r="I164" s="96">
        <f>I16*Inputs!I82/365</f>
        <v>1513.0616766572716</v>
      </c>
      <c r="J164" s="96">
        <f>J16*Inputs!J82/365</f>
        <v>1572.3935755120465</v>
      </c>
      <c r="K164" s="96">
        <f>K16*Inputs!K82/365</f>
        <v>1627.4256024481442</v>
      </c>
      <c r="L164" s="96">
        <f>L16*Inputs!L82/365</f>
        <v>1681.0553380095541</v>
      </c>
      <c r="M164" s="78"/>
      <c r="N164" s="78"/>
    </row>
    <row r="165" spans="1:14" outlineLevel="1" x14ac:dyDescent="0.15">
      <c r="A165" s="78"/>
      <c r="B165" s="87" t="s">
        <v>58</v>
      </c>
      <c r="C165" s="78"/>
      <c r="D165" s="96">
        <f t="shared" si="58"/>
        <v>766.43700000000001</v>
      </c>
      <c r="E165" s="96">
        <f t="shared" si="58"/>
        <v>706.19100000000003</v>
      </c>
      <c r="F165" s="96">
        <f t="shared" si="58"/>
        <v>941.88400000000001</v>
      </c>
      <c r="G165" s="96">
        <f t="shared" si="58"/>
        <v>1008.021</v>
      </c>
      <c r="H165" s="96">
        <f>-H30*Inputs!H83/365</f>
        <v>1005.6571143378412</v>
      </c>
      <c r="I165" s="96">
        <f>-I30*Inputs!I83/365</f>
        <v>1060.4588794658791</v>
      </c>
      <c r="J165" s="96">
        <f>-J30*Inputs!J83/365</f>
        <v>1102.0428016197475</v>
      </c>
      <c r="K165" s="96">
        <f>-K30*Inputs!K83/365</f>
        <v>1140.6130744114819</v>
      </c>
      <c r="L165" s="96">
        <f>-L30*Inputs!L83/365</f>
        <v>1178.200523857131</v>
      </c>
      <c r="M165" s="78"/>
      <c r="N165" s="78"/>
    </row>
    <row r="166" spans="1:14" outlineLevel="1" x14ac:dyDescent="0.15">
      <c r="A166" s="78"/>
      <c r="B166" s="87" t="s">
        <v>69</v>
      </c>
      <c r="C166" s="78"/>
      <c r="D166" s="96">
        <f>-D96</f>
        <v>-1832.8320000000001</v>
      </c>
      <c r="E166" s="96">
        <f>-E96</f>
        <v>-1982.385</v>
      </c>
      <c r="F166" s="96">
        <f>-F96</f>
        <v>-2581.9169999999999</v>
      </c>
      <c r="G166" s="96">
        <f>-G96</f>
        <v>-2399.4290000000001</v>
      </c>
      <c r="H166" s="96">
        <f>H30*Inputs!H84/365</f>
        <v>-2451.2892161984882</v>
      </c>
      <c r="I166" s="96">
        <f>I30*Inputs!I84/365</f>
        <v>-2584.8685186980802</v>
      </c>
      <c r="J166" s="96">
        <f>J30*Inputs!J84/365</f>
        <v>-2686.2293289481345</v>
      </c>
      <c r="K166" s="96">
        <f>K30*Inputs!K84/365</f>
        <v>-2780.2443688779867</v>
      </c>
      <c r="L166" s="96">
        <f>L30*Inputs!L84/365</f>
        <v>-2871.8637769017564</v>
      </c>
      <c r="M166" s="78"/>
      <c r="N166" s="78"/>
    </row>
    <row r="167" spans="1:14" outlineLevel="1" x14ac:dyDescent="0.15">
      <c r="A167" s="78"/>
      <c r="B167" s="80" t="s">
        <v>115</v>
      </c>
      <c r="C167" s="78"/>
      <c r="D167" s="199">
        <f t="shared" ref="D167:L167" si="59">SUM(D164:D166)</f>
        <v>-68.406000000000176</v>
      </c>
      <c r="E167" s="199">
        <f t="shared" si="59"/>
        <v>-156.25599999999986</v>
      </c>
      <c r="F167" s="199">
        <f t="shared" si="59"/>
        <v>-188.62899999999991</v>
      </c>
      <c r="G167" s="199">
        <f t="shared" si="59"/>
        <v>-52.979000000000269</v>
      </c>
      <c r="H167" s="199">
        <f t="shared" si="59"/>
        <v>3.623138099901098</v>
      </c>
      <c r="I167" s="199">
        <f t="shared" si="59"/>
        <v>-11.347962574929625</v>
      </c>
      <c r="J167" s="199">
        <f t="shared" si="59"/>
        <v>-11.792951816340519</v>
      </c>
      <c r="K167" s="199">
        <f t="shared" si="59"/>
        <v>-12.205692018360423</v>
      </c>
      <c r="L167" s="199">
        <f t="shared" si="59"/>
        <v>-12.607915035071073</v>
      </c>
      <c r="M167" s="78"/>
      <c r="N167" s="78"/>
    </row>
    <row r="168" spans="1:14" outlineLevel="1" x14ac:dyDescent="0.15">
      <c r="A168" s="78"/>
      <c r="B168" s="87" t="s">
        <v>116</v>
      </c>
      <c r="C168" s="78"/>
      <c r="D168" s="96"/>
      <c r="E168" s="96">
        <f t="shared" ref="E168:L168" si="60">D167-E167</f>
        <v>87.849999999999682</v>
      </c>
      <c r="F168" s="96">
        <f t="shared" si="60"/>
        <v>32.373000000000047</v>
      </c>
      <c r="G168" s="96">
        <f t="shared" si="60"/>
        <v>-135.64999999999964</v>
      </c>
      <c r="H168" s="96">
        <f t="shared" si="60"/>
        <v>-56.602138099901367</v>
      </c>
      <c r="I168" s="96">
        <f t="shared" si="60"/>
        <v>14.971100674830723</v>
      </c>
      <c r="J168" s="96">
        <f t="shared" si="60"/>
        <v>0.44498924141089446</v>
      </c>
      <c r="K168" s="96">
        <f t="shared" si="60"/>
        <v>0.41274020201990425</v>
      </c>
      <c r="L168" s="96">
        <f t="shared" si="60"/>
        <v>0.40222301671064997</v>
      </c>
      <c r="M168" s="78"/>
      <c r="N168" s="82"/>
    </row>
    <row r="169" spans="1:14" outlineLevel="1" x14ac:dyDescent="0.15">
      <c r="A169" s="78"/>
      <c r="B169" s="87" t="s">
        <v>117</v>
      </c>
      <c r="C169" s="78"/>
      <c r="D169" s="95">
        <f t="shared" ref="D169:L169" si="61">D167/D16</f>
        <v>-8.6861629371080672E-3</v>
      </c>
      <c r="E169" s="95">
        <f t="shared" si="61"/>
        <v>-1.7980914610563288E-2</v>
      </c>
      <c r="F169" s="95">
        <f t="shared" si="61"/>
        <v>-1.7021277747703848E-2</v>
      </c>
      <c r="G169" s="95">
        <f t="shared" si="61"/>
        <v>-4.9262957201975125E-3</v>
      </c>
      <c r="H169" s="95">
        <f t="shared" si="61"/>
        <v>3.1506849315066126E-4</v>
      </c>
      <c r="I169" s="95">
        <f t="shared" si="61"/>
        <v>-9.4520547945206211E-4</v>
      </c>
      <c r="J169" s="95">
        <f t="shared" si="61"/>
        <v>-9.4520547945206839E-4</v>
      </c>
      <c r="K169" s="95">
        <f t="shared" si="61"/>
        <v>-9.4520547945200388E-4</v>
      </c>
      <c r="L169" s="95">
        <f t="shared" si="61"/>
        <v>-9.4520547945201126E-4</v>
      </c>
      <c r="M169" s="78"/>
      <c r="N169" s="78"/>
    </row>
    <row r="170" spans="1:14" outlineLevel="1" x14ac:dyDescent="0.15">
      <c r="A170" s="78"/>
      <c r="B170" s="87" t="s">
        <v>118</v>
      </c>
      <c r="C170" s="82" t="s">
        <v>119</v>
      </c>
      <c r="D170" s="96">
        <f t="shared" ref="D170:L170" si="62">D164/D16*365</f>
        <v>46.254330002575145</v>
      </c>
      <c r="E170" s="96">
        <f t="shared" si="62"/>
        <v>47.039415988510157</v>
      </c>
      <c r="F170" s="96">
        <f t="shared" si="62"/>
        <v>47.80407027533866</v>
      </c>
      <c r="G170" s="96">
        <f t="shared" si="62"/>
        <v>45.426044751471231</v>
      </c>
      <c r="H170" s="96">
        <f t="shared" si="62"/>
        <v>45.999999999999993</v>
      </c>
      <c r="I170" s="96">
        <f t="shared" si="62"/>
        <v>46</v>
      </c>
      <c r="J170" s="96">
        <f t="shared" si="62"/>
        <v>45.999999999999993</v>
      </c>
      <c r="K170" s="96">
        <f t="shared" si="62"/>
        <v>46</v>
      </c>
      <c r="L170" s="96">
        <f t="shared" si="62"/>
        <v>46</v>
      </c>
      <c r="M170" s="78"/>
      <c r="N170" s="78"/>
    </row>
    <row r="171" spans="1:14" outlineLevel="1" x14ac:dyDescent="0.15">
      <c r="A171" s="78"/>
      <c r="B171" s="87" t="s">
        <v>120</v>
      </c>
      <c r="C171" s="82" t="s">
        <v>119</v>
      </c>
      <c r="D171" s="96">
        <f t="shared" ref="D171:L171" si="63">D165/-D30*365</f>
        <v>73.766853349653914</v>
      </c>
      <c r="E171" s="96">
        <f t="shared" si="63"/>
        <v>66.211109021890067</v>
      </c>
      <c r="F171" s="96">
        <f t="shared" si="63"/>
        <v>73.335876076266075</v>
      </c>
      <c r="G171" s="96">
        <f t="shared" si="63"/>
        <v>85.877707342657104</v>
      </c>
      <c r="H171" s="96">
        <f t="shared" si="63"/>
        <v>80</v>
      </c>
      <c r="I171" s="96">
        <f t="shared" si="63"/>
        <v>80</v>
      </c>
      <c r="J171" s="96">
        <f t="shared" si="63"/>
        <v>80</v>
      </c>
      <c r="K171" s="96">
        <f t="shared" si="63"/>
        <v>80</v>
      </c>
      <c r="L171" s="96">
        <f t="shared" si="63"/>
        <v>80</v>
      </c>
      <c r="M171" s="78"/>
      <c r="N171" s="78"/>
    </row>
    <row r="172" spans="1:14" outlineLevel="1" x14ac:dyDescent="0.15">
      <c r="A172" s="78"/>
      <c r="B172" s="87" t="s">
        <v>121</v>
      </c>
      <c r="C172" s="82" t="s">
        <v>119</v>
      </c>
      <c r="D172" s="96">
        <f>-D166/-D30*365</f>
        <v>176.40360441700088</v>
      </c>
      <c r="E172" s="96">
        <f>-E166/-E30*365</f>
        <v>185.86460229365645</v>
      </c>
      <c r="F172" s="96">
        <f>-F166/-F30*365</f>
        <v>201.0302172573318</v>
      </c>
      <c r="G172" s="96">
        <f>-G166/-G30*365</f>
        <v>204.41782606858825</v>
      </c>
      <c r="H172" s="96">
        <f>H166/H30*365</f>
        <v>195</v>
      </c>
      <c r="I172" s="96">
        <f>I166/I30*365</f>
        <v>194.99999999999997</v>
      </c>
      <c r="J172" s="96">
        <f>J166/J30*365</f>
        <v>194.99999999999997</v>
      </c>
      <c r="K172" s="96">
        <f>K166/K30*365</f>
        <v>195</v>
      </c>
      <c r="L172" s="96">
        <f>L166/L30*365</f>
        <v>194.99999999999997</v>
      </c>
      <c r="M172" s="78"/>
      <c r="N172" s="82"/>
    </row>
    <row r="173" spans="1:14" x14ac:dyDescent="0.1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</row>
    <row r="174" spans="1:14" ht="18" customHeight="1" x14ac:dyDescent="0.15">
      <c r="A174" s="78"/>
      <c r="B174" s="90" t="s">
        <v>122</v>
      </c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78"/>
      <c r="N174" s="78"/>
    </row>
    <row r="175" spans="1:14" outlineLevel="1" x14ac:dyDescent="0.15">
      <c r="A175" s="78"/>
      <c r="B175" s="82" t="s">
        <v>8</v>
      </c>
      <c r="C175" s="78"/>
      <c r="D175" s="93">
        <f t="shared" ref="D175:L175" si="64">D$4</f>
        <v>2022</v>
      </c>
      <c r="E175" s="93">
        <f t="shared" si="64"/>
        <v>2023</v>
      </c>
      <c r="F175" s="93">
        <f t="shared" si="64"/>
        <v>2024</v>
      </c>
      <c r="G175" s="93">
        <f t="shared" si="64"/>
        <v>2025</v>
      </c>
      <c r="H175" s="94">
        <f t="shared" si="64"/>
        <v>2026</v>
      </c>
      <c r="I175" s="94">
        <f t="shared" si="64"/>
        <v>2027</v>
      </c>
      <c r="J175" s="94">
        <f t="shared" si="64"/>
        <v>2028</v>
      </c>
      <c r="K175" s="94">
        <f t="shared" si="64"/>
        <v>2029</v>
      </c>
      <c r="L175" s="94">
        <f t="shared" si="64"/>
        <v>2030</v>
      </c>
      <c r="M175" s="78"/>
      <c r="N175" s="78"/>
    </row>
    <row r="176" spans="1:14" outlineLevel="1" x14ac:dyDescent="0.15">
      <c r="A176" s="78"/>
      <c r="B176" s="87" t="s">
        <v>123</v>
      </c>
      <c r="C176" s="78"/>
      <c r="D176" s="96"/>
      <c r="E176" s="96">
        <f t="shared" ref="E176:L176" si="65">D181</f>
        <v>3098.4769999999999</v>
      </c>
      <c r="F176" s="96">
        <f t="shared" si="65"/>
        <v>3113.2620000000002</v>
      </c>
      <c r="G176" s="96">
        <f t="shared" si="65"/>
        <v>4442.0780000000004</v>
      </c>
      <c r="H176" s="96">
        <f t="shared" si="65"/>
        <v>5299.7030000000004</v>
      </c>
      <c r="I176" s="96">
        <f t="shared" si="65"/>
        <v>5923.5887828320001</v>
      </c>
      <c r="J176" s="96">
        <f t="shared" si="65"/>
        <v>6177.1893149220796</v>
      </c>
      <c r="K176" s="96">
        <f t="shared" si="65"/>
        <v>6312.3442451001138</v>
      </c>
      <c r="L176" s="96">
        <f t="shared" si="65"/>
        <v>6401.439876485736</v>
      </c>
      <c r="M176" s="78"/>
      <c r="N176" s="78"/>
    </row>
    <row r="177" spans="1:14" outlineLevel="1" x14ac:dyDescent="0.15">
      <c r="A177" s="78"/>
      <c r="B177" s="87" t="s">
        <v>89</v>
      </c>
      <c r="C177" s="78"/>
      <c r="D177" s="96">
        <f>-D123</f>
        <v>413.68299999999999</v>
      </c>
      <c r="E177" s="96">
        <f>-E123</f>
        <v>417.08300000000003</v>
      </c>
      <c r="F177" s="96">
        <f>-F123</f>
        <v>824.64700000000005</v>
      </c>
      <c r="G177" s="96">
        <f>-G123</f>
        <v>1224.4559999999999</v>
      </c>
      <c r="H177" s="96">
        <f>H16*Inputs!H75</f>
        <v>1149.9525273600002</v>
      </c>
      <c r="I177" s="96">
        <f>I16*Inputs!I75</f>
        <v>1020.4943156150403</v>
      </c>
      <c r="J177" s="96">
        <f>J16*Inputs!J75</f>
        <v>935.74508977483197</v>
      </c>
      <c r="K177" s="96">
        <f>K16*Inputs!K75</f>
        <v>903.92878570761047</v>
      </c>
      <c r="L177" s="96">
        <f>L16*Inputs!L75</f>
        <v>867.02256291905803</v>
      </c>
      <c r="M177" s="78"/>
      <c r="N177" s="82"/>
    </row>
    <row r="178" spans="1:14" outlineLevel="1" x14ac:dyDescent="0.15">
      <c r="A178" s="78"/>
      <c r="B178" s="87" t="s">
        <v>124</v>
      </c>
      <c r="C178" s="78"/>
      <c r="D178" s="96"/>
      <c r="E178" s="96"/>
      <c r="F178" s="96">
        <f>Hist!F258</f>
        <v>196.37100000000001</v>
      </c>
      <c r="G178" s="96">
        <f>Hist!G258</f>
        <v>224.12700000000001</v>
      </c>
      <c r="H178" s="96">
        <f>-G257+Inputs!H78*(H16-Hist!E301)</f>
        <v>374.88276547200002</v>
      </c>
      <c r="I178" s="96">
        <f>Inputs!I78*I16</f>
        <v>240.11630955648005</v>
      </c>
      <c r="J178" s="96">
        <f>Inputs!J78*J16</f>
        <v>249.53202393995522</v>
      </c>
      <c r="K178" s="96">
        <f>Inputs!K78*K16</f>
        <v>258.26536734503156</v>
      </c>
      <c r="L178" s="96">
        <f>Inputs!L78*L16</f>
        <v>266.77617320586398</v>
      </c>
      <c r="M178" s="78"/>
      <c r="N178" s="82"/>
    </row>
    <row r="179" spans="1:14" outlineLevel="1" x14ac:dyDescent="0.15">
      <c r="A179" s="78"/>
      <c r="B179" s="87" t="s">
        <v>37</v>
      </c>
      <c r="C179" s="78"/>
      <c r="D179" s="96">
        <f>D61</f>
        <v>-586.096</v>
      </c>
      <c r="E179" s="96">
        <f>E61</f>
        <v>-540.42100000000005</v>
      </c>
      <c r="F179" s="96">
        <f>F61</f>
        <v>-674.07600000000002</v>
      </c>
      <c r="G179" s="96">
        <f>G61</f>
        <v>-760.64400000000001</v>
      </c>
      <c r="H179" s="96">
        <f>-H176*Inputs!H79</f>
        <v>-900.94951000000015</v>
      </c>
      <c r="I179" s="96">
        <f>-I176*Inputs!I79</f>
        <v>-1007.0100930814401</v>
      </c>
      <c r="J179" s="96">
        <f>-J176*Inputs!J79</f>
        <v>-1050.1221835367537</v>
      </c>
      <c r="K179" s="96">
        <f>-K176*Inputs!K79</f>
        <v>-1073.0985216670194</v>
      </c>
      <c r="L179" s="96">
        <f>-L176*Inputs!L79</f>
        <v>-1088.2447790025751</v>
      </c>
      <c r="M179" s="78"/>
      <c r="N179" s="82"/>
    </row>
    <row r="180" spans="1:14" outlineLevel="1" x14ac:dyDescent="0.15">
      <c r="A180" s="78"/>
      <c r="B180" s="87" t="s">
        <v>125</v>
      </c>
      <c r="C180" s="78"/>
      <c r="D180" s="96"/>
      <c r="E180" s="96">
        <f>E181-SUM(E176:E179)</f>
        <v>138.12300000000005</v>
      </c>
      <c r="F180" s="96">
        <f>F181-SUM(F176:F179)</f>
        <v>981.87400000000071</v>
      </c>
      <c r="G180" s="96">
        <f>G181-SUM(G176:G179)</f>
        <v>169.68599999999969</v>
      </c>
      <c r="H180" s="201">
        <v>0</v>
      </c>
      <c r="I180" s="201">
        <v>0</v>
      </c>
      <c r="J180" s="201">
        <v>0</v>
      </c>
      <c r="K180" s="201">
        <v>0</v>
      </c>
      <c r="L180" s="201">
        <v>0</v>
      </c>
      <c r="M180" s="78"/>
      <c r="N180" s="82"/>
    </row>
    <row r="181" spans="1:14" outlineLevel="1" x14ac:dyDescent="0.15">
      <c r="A181" s="78"/>
      <c r="B181" s="80" t="s">
        <v>126</v>
      </c>
      <c r="C181" s="78"/>
      <c r="D181" s="199">
        <f t="shared" ref="D181:G182" si="66">D88</f>
        <v>3098.4769999999999</v>
      </c>
      <c r="E181" s="199">
        <f t="shared" si="66"/>
        <v>3113.2620000000002</v>
      </c>
      <c r="F181" s="199">
        <f t="shared" si="66"/>
        <v>4442.0780000000004</v>
      </c>
      <c r="G181" s="199">
        <f t="shared" si="66"/>
        <v>5299.7030000000004</v>
      </c>
      <c r="H181" s="199">
        <f>SUM(H176:H180)</f>
        <v>5923.5887828320001</v>
      </c>
      <c r="I181" s="199">
        <f>SUM(I176:I180)</f>
        <v>6177.1893149220796</v>
      </c>
      <c r="J181" s="199">
        <f>SUM(J176:J180)</f>
        <v>6312.3442451001138</v>
      </c>
      <c r="K181" s="199">
        <f>SUM(K176:K180)</f>
        <v>6401.439876485736</v>
      </c>
      <c r="L181" s="199">
        <f>SUM(L176:L180)</f>
        <v>6446.9938336080832</v>
      </c>
      <c r="M181" s="78"/>
      <c r="N181" s="78"/>
    </row>
    <row r="182" spans="1:14" outlineLevel="1" x14ac:dyDescent="0.15">
      <c r="A182" s="78"/>
      <c r="B182" s="87" t="s">
        <v>63</v>
      </c>
      <c r="C182" s="78"/>
      <c r="D182" s="96">
        <f t="shared" si="66"/>
        <v>1825.6610000000001</v>
      </c>
      <c r="E182" s="96">
        <f t="shared" si="66"/>
        <v>1822.114</v>
      </c>
      <c r="F182" s="96">
        <f t="shared" si="66"/>
        <v>2449.7470000000003</v>
      </c>
      <c r="G182" s="96">
        <f t="shared" si="66"/>
        <v>2763.9760000000001</v>
      </c>
      <c r="H182" s="96">
        <f>G182-Hist!E394</f>
        <v>2955.3470000000002</v>
      </c>
      <c r="I182" s="96">
        <f>H182</f>
        <v>2955.3470000000002</v>
      </c>
      <c r="J182" s="96">
        <f>I182</f>
        <v>2955.3470000000002</v>
      </c>
      <c r="K182" s="96">
        <f>J182</f>
        <v>2955.3470000000002</v>
      </c>
      <c r="L182" s="96">
        <f>K182</f>
        <v>2955.3470000000002</v>
      </c>
      <c r="M182" s="78"/>
      <c r="N182" s="82"/>
    </row>
    <row r="183" spans="1:14" outlineLevel="1" x14ac:dyDescent="0.1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</row>
    <row r="184" spans="1:14" outlineLevel="1" x14ac:dyDescent="0.15">
      <c r="A184" s="78"/>
      <c r="B184" s="79" t="s">
        <v>127</v>
      </c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</row>
    <row r="185" spans="1:14" outlineLevel="1" x14ac:dyDescent="0.15">
      <c r="A185" s="78"/>
      <c r="B185" s="80" t="s">
        <v>128</v>
      </c>
      <c r="C185" s="78"/>
      <c r="D185" s="97">
        <f t="shared" ref="D185:L185" si="67">D177/D16</f>
        <v>5.2529280213894504E-2</v>
      </c>
      <c r="E185" s="97">
        <f t="shared" si="67"/>
        <v>4.7995173359855467E-2</v>
      </c>
      <c r="F185" s="97">
        <f t="shared" si="67"/>
        <v>7.4413508160520087E-2</v>
      </c>
      <c r="G185" s="97">
        <f t="shared" si="67"/>
        <v>0.11385704434530916</v>
      </c>
      <c r="H185" s="97">
        <f t="shared" si="67"/>
        <v>0.1</v>
      </c>
      <c r="I185" s="97">
        <f t="shared" si="67"/>
        <v>8.5000000000000006E-2</v>
      </c>
      <c r="J185" s="97">
        <f t="shared" si="67"/>
        <v>7.4999999999999997E-2</v>
      </c>
      <c r="K185" s="97">
        <f t="shared" si="67"/>
        <v>7.0000000000000007E-2</v>
      </c>
      <c r="L185" s="97">
        <f t="shared" si="67"/>
        <v>6.5000000000000002E-2</v>
      </c>
      <c r="M185" s="78"/>
      <c r="N185" s="78"/>
    </row>
    <row r="186" spans="1:14" outlineLevel="1" x14ac:dyDescent="0.15">
      <c r="A186" s="78"/>
      <c r="B186" s="87" t="s">
        <v>129</v>
      </c>
      <c r="C186" s="78"/>
      <c r="D186" s="95"/>
      <c r="E186" s="95"/>
      <c r="F186" s="95">
        <f t="shared" ref="F186:L186" si="68">F178/F16</f>
        <v>1.771989106974195E-2</v>
      </c>
      <c r="G186" s="95">
        <f t="shared" si="68"/>
        <v>2.0840632720147648E-2</v>
      </c>
      <c r="H186" s="95">
        <f t="shared" si="68"/>
        <v>3.2599847085221505E-2</v>
      </c>
      <c r="I186" s="95">
        <f t="shared" si="68"/>
        <v>0.02</v>
      </c>
      <c r="J186" s="95">
        <f t="shared" si="68"/>
        <v>0.02</v>
      </c>
      <c r="K186" s="95">
        <f t="shared" si="68"/>
        <v>0.02</v>
      </c>
      <c r="L186" s="95">
        <f t="shared" si="68"/>
        <v>0.02</v>
      </c>
      <c r="M186" s="78"/>
      <c r="N186" s="78"/>
    </row>
    <row r="187" spans="1:14" outlineLevel="1" x14ac:dyDescent="0.15">
      <c r="A187" s="78"/>
      <c r="B187" s="87" t="s">
        <v>130</v>
      </c>
      <c r="C187" s="78"/>
      <c r="D187" s="95">
        <f t="shared" ref="D187:L187" si="69">-D179/D16</f>
        <v>7.4422204964290806E-2</v>
      </c>
      <c r="E187" s="95">
        <f t="shared" si="69"/>
        <v>6.2188100647368634E-2</v>
      </c>
      <c r="F187" s="95">
        <f t="shared" si="69"/>
        <v>6.082646262802234E-2</v>
      </c>
      <c r="G187" s="95">
        <f t="shared" si="69"/>
        <v>7.0729105528490488E-2</v>
      </c>
      <c r="H187" s="95">
        <f t="shared" si="69"/>
        <v>7.8346669846306796E-2</v>
      </c>
      <c r="I187" s="95">
        <f t="shared" si="69"/>
        <v>8.3876859088955105E-2</v>
      </c>
      <c r="J187" s="95">
        <f t="shared" si="69"/>
        <v>8.416732786084756E-2</v>
      </c>
      <c r="K187" s="95">
        <f t="shared" si="69"/>
        <v>8.3100458470175401E-2</v>
      </c>
      <c r="L187" s="95">
        <f t="shared" si="69"/>
        <v>8.1584855643221627E-2</v>
      </c>
      <c r="M187" s="78"/>
      <c r="N187" s="78"/>
    </row>
    <row r="188" spans="1:14" outlineLevel="1" x14ac:dyDescent="0.15">
      <c r="A188" s="78"/>
      <c r="B188" s="87" t="s">
        <v>131</v>
      </c>
      <c r="C188" s="78"/>
      <c r="D188" s="95"/>
      <c r="E188" s="95">
        <f t="shared" ref="E188:L188" si="70">-E179/E176</f>
        <v>0.17441504326157659</v>
      </c>
      <c r="F188" s="95">
        <f t="shared" si="70"/>
        <v>0.21651759472861584</v>
      </c>
      <c r="G188" s="95">
        <f t="shared" si="70"/>
        <v>0.1712360746479463</v>
      </c>
      <c r="H188" s="95">
        <f t="shared" si="70"/>
        <v>0.17</v>
      </c>
      <c r="I188" s="95">
        <f t="shared" si="70"/>
        <v>0.17</v>
      </c>
      <c r="J188" s="95">
        <f t="shared" si="70"/>
        <v>0.17000000000000004</v>
      </c>
      <c r="K188" s="95">
        <f t="shared" si="70"/>
        <v>0.17</v>
      </c>
      <c r="L188" s="95">
        <f t="shared" si="70"/>
        <v>0.17</v>
      </c>
      <c r="M188" s="78"/>
      <c r="N188" s="78"/>
    </row>
    <row r="189" spans="1:14" outlineLevel="1" x14ac:dyDescent="0.15">
      <c r="A189" s="78"/>
      <c r="B189" s="87" t="s">
        <v>132</v>
      </c>
      <c r="C189" s="82" t="s">
        <v>133</v>
      </c>
      <c r="D189" s="203">
        <f t="shared" ref="D189:L189" si="71">D177/-D179</f>
        <v>0.70582805547214111</v>
      </c>
      <c r="E189" s="203">
        <f t="shared" si="71"/>
        <v>0.77177422787049355</v>
      </c>
      <c r="F189" s="203">
        <f t="shared" si="71"/>
        <v>1.2233739222283542</v>
      </c>
      <c r="G189" s="203">
        <f t="shared" si="71"/>
        <v>1.6097622540899552</v>
      </c>
      <c r="H189" s="203">
        <f>H177/-H179</f>
        <v>1.2763784369670172</v>
      </c>
      <c r="I189" s="203">
        <f t="shared" si="71"/>
        <v>1.0133903548993621</v>
      </c>
      <c r="J189" s="203">
        <f t="shared" si="71"/>
        <v>0.89108210877261351</v>
      </c>
      <c r="K189" s="203">
        <f t="shared" si="71"/>
        <v>0.84235395674890134</v>
      </c>
      <c r="L189" s="203">
        <f t="shared" si="71"/>
        <v>0.79671649214225759</v>
      </c>
      <c r="M189" s="78"/>
      <c r="N189" s="78"/>
    </row>
    <row r="190" spans="1:14" x14ac:dyDescent="0.1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</row>
    <row r="191" spans="1:14" ht="18" customHeight="1" x14ac:dyDescent="0.15">
      <c r="A191" s="78"/>
      <c r="B191" s="90" t="s">
        <v>134</v>
      </c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78"/>
      <c r="N191" s="78"/>
    </row>
    <row r="192" spans="1:14" outlineLevel="1" x14ac:dyDescent="0.15">
      <c r="A192" s="78"/>
      <c r="B192" s="82" t="s">
        <v>8</v>
      </c>
      <c r="C192" s="78"/>
      <c r="D192" s="223">
        <f t="shared" ref="D192:L192" si="72">D$4</f>
        <v>2022</v>
      </c>
      <c r="E192" s="223">
        <f t="shared" si="72"/>
        <v>2023</v>
      </c>
      <c r="F192" s="223">
        <f t="shared" si="72"/>
        <v>2024</v>
      </c>
      <c r="G192" s="223">
        <f t="shared" si="72"/>
        <v>2025</v>
      </c>
      <c r="H192" s="94">
        <f t="shared" si="72"/>
        <v>2026</v>
      </c>
      <c r="I192" s="94">
        <f t="shared" si="72"/>
        <v>2027</v>
      </c>
      <c r="J192" s="94">
        <f t="shared" si="72"/>
        <v>2028</v>
      </c>
      <c r="K192" s="94">
        <f t="shared" si="72"/>
        <v>2029</v>
      </c>
      <c r="L192" s="94">
        <f t="shared" si="72"/>
        <v>2030</v>
      </c>
      <c r="M192" s="78"/>
      <c r="N192" s="78"/>
    </row>
    <row r="193" spans="1:14" s="99" customFormat="1" outlineLevel="1" x14ac:dyDescent="0.15">
      <c r="A193" s="78"/>
      <c r="B193" s="117" t="s">
        <v>135</v>
      </c>
      <c r="C193" s="78"/>
      <c r="D193" s="238"/>
      <c r="E193" s="239"/>
      <c r="F193" s="239"/>
      <c r="G193" s="240"/>
      <c r="H193" s="118"/>
      <c r="I193" s="118"/>
      <c r="J193" s="118"/>
      <c r="K193" s="118"/>
      <c r="L193" s="118"/>
      <c r="M193" s="78"/>
      <c r="N193" s="78"/>
    </row>
    <row r="194" spans="1:14" s="99" customFormat="1" outlineLevel="1" x14ac:dyDescent="0.15">
      <c r="A194" s="78"/>
      <c r="B194" s="103" t="s">
        <v>106</v>
      </c>
      <c r="C194" s="78"/>
      <c r="D194" s="241"/>
      <c r="E194" s="242"/>
      <c r="F194" s="242"/>
      <c r="G194" s="243"/>
      <c r="H194" s="204">
        <f>G83</f>
        <v>634.71799999999996</v>
      </c>
      <c r="I194" s="204">
        <f>H83</f>
        <v>500.00000000000034</v>
      </c>
      <c r="J194" s="204">
        <f>I83</f>
        <v>500.00000000000034</v>
      </c>
      <c r="K194" s="204">
        <f>J83</f>
        <v>500.00000000000034</v>
      </c>
      <c r="L194" s="204">
        <f>K83</f>
        <v>500.00000000000034</v>
      </c>
      <c r="M194" s="78"/>
      <c r="N194" s="78"/>
    </row>
    <row r="195" spans="1:14" s="99" customFormat="1" outlineLevel="1" x14ac:dyDescent="0.15">
      <c r="A195" s="78"/>
      <c r="B195" s="103" t="s">
        <v>136</v>
      </c>
      <c r="C195" s="78"/>
      <c r="D195" s="241"/>
      <c r="E195" s="242"/>
      <c r="F195" s="242"/>
      <c r="G195" s="243"/>
      <c r="H195" s="204">
        <f>H120+H129+H132+H135</f>
        <v>-995.30903245580464</v>
      </c>
      <c r="I195" s="204">
        <f>I120+I129+I132+I135</f>
        <v>-310.91256199707203</v>
      </c>
      <c r="J195" s="204">
        <f>J120+J129+J132+J135</f>
        <v>-167.5543879770093</v>
      </c>
      <c r="K195" s="204">
        <f>K120+K129+K132+K135</f>
        <v>-72.746216799347451</v>
      </c>
      <c r="L195" s="204">
        <f>L120+L129+L132+L135</f>
        <v>14.022131435395409</v>
      </c>
      <c r="M195" s="78"/>
      <c r="N195" s="78"/>
    </row>
    <row r="196" spans="1:14" s="99" customFormat="1" outlineLevel="1" x14ac:dyDescent="0.15">
      <c r="A196" s="78"/>
      <c r="B196" s="103" t="s">
        <v>137</v>
      </c>
      <c r="C196" s="78"/>
      <c r="D196" s="241"/>
      <c r="E196" s="242"/>
      <c r="F196" s="242"/>
      <c r="G196" s="243"/>
      <c r="H196" s="204">
        <f>Inputs!H92</f>
        <v>500</v>
      </c>
      <c r="I196" s="204">
        <f>Inputs!I92</f>
        <v>500</v>
      </c>
      <c r="J196" s="204">
        <f>Inputs!J92</f>
        <v>500</v>
      </c>
      <c r="K196" s="204">
        <f>Inputs!K92</f>
        <v>500</v>
      </c>
      <c r="L196" s="204">
        <f>Inputs!L92</f>
        <v>500</v>
      </c>
      <c r="M196" s="78"/>
      <c r="N196" s="78"/>
    </row>
    <row r="197" spans="1:14" s="99" customFormat="1" outlineLevel="1" x14ac:dyDescent="0.15">
      <c r="A197" s="78"/>
      <c r="B197" s="119" t="s">
        <v>138</v>
      </c>
      <c r="C197" s="78"/>
      <c r="D197" s="241"/>
      <c r="E197" s="242"/>
      <c r="F197" s="242"/>
      <c r="G197" s="243"/>
      <c r="H197" s="205">
        <f>H195+H194-H196</f>
        <v>-860.59103245580468</v>
      </c>
      <c r="I197" s="205">
        <f>I195+I194-I196</f>
        <v>-310.91256199707169</v>
      </c>
      <c r="J197" s="205">
        <f>J195+J194-J196</f>
        <v>-167.55438797700896</v>
      </c>
      <c r="K197" s="205">
        <f>K195+K194-K196</f>
        <v>-72.74621679934711</v>
      </c>
      <c r="L197" s="205">
        <f>L195+L194-L196</f>
        <v>14.02213143539575</v>
      </c>
      <c r="M197" s="78"/>
      <c r="N197" s="78"/>
    </row>
    <row r="198" spans="1:14" s="99" customFormat="1" outlineLevel="1" x14ac:dyDescent="0.15">
      <c r="A198" s="78"/>
      <c r="B198" s="100"/>
      <c r="C198" s="78"/>
      <c r="D198" s="241"/>
      <c r="E198" s="242"/>
      <c r="F198" s="242"/>
      <c r="G198" s="243"/>
      <c r="H198" s="118"/>
      <c r="I198" s="118"/>
      <c r="J198" s="118"/>
      <c r="K198" s="118"/>
      <c r="L198" s="118"/>
      <c r="M198" s="78"/>
      <c r="N198" s="78"/>
    </row>
    <row r="199" spans="1:14" s="99" customFormat="1" outlineLevel="1" x14ac:dyDescent="0.15">
      <c r="A199" s="78"/>
      <c r="B199" s="117" t="s">
        <v>71</v>
      </c>
      <c r="C199" s="78"/>
      <c r="D199" s="241"/>
      <c r="E199" s="242"/>
      <c r="F199" s="242"/>
      <c r="G199" s="243"/>
      <c r="H199" s="118"/>
      <c r="I199" s="118"/>
      <c r="J199" s="118"/>
      <c r="K199" s="118"/>
      <c r="L199" s="118"/>
      <c r="M199" s="78"/>
      <c r="N199" s="78"/>
    </row>
    <row r="200" spans="1:14" s="99" customFormat="1" outlineLevel="1" x14ac:dyDescent="0.15">
      <c r="A200" s="78"/>
      <c r="B200" s="103" t="s">
        <v>139</v>
      </c>
      <c r="C200" s="78"/>
      <c r="D200" s="241"/>
      <c r="E200" s="242"/>
      <c r="F200" s="242"/>
      <c r="G200" s="243"/>
      <c r="H200" s="204">
        <f>G98</f>
        <v>5577.433</v>
      </c>
      <c r="I200" s="204">
        <f>H98</f>
        <v>6438.0240324558044</v>
      </c>
      <c r="J200" s="204">
        <f>I98</f>
        <v>6748.9365944528763</v>
      </c>
      <c r="K200" s="204">
        <f>J98</f>
        <v>6916.4909824298857</v>
      </c>
      <c r="L200" s="204">
        <f>K98</f>
        <v>6989.2371992292328</v>
      </c>
      <c r="M200" s="78"/>
      <c r="N200" s="78"/>
    </row>
    <row r="201" spans="1:14" s="99" customFormat="1" outlineLevel="1" x14ac:dyDescent="0.15">
      <c r="A201" s="78"/>
      <c r="B201" s="103" t="s">
        <v>140</v>
      </c>
      <c r="C201" s="78"/>
      <c r="D201" s="241"/>
      <c r="E201" s="242"/>
      <c r="F201" s="242"/>
      <c r="G201" s="243"/>
      <c r="H201" s="204">
        <f>MAX(-H197,-H200)</f>
        <v>860.59103245580468</v>
      </c>
      <c r="I201" s="204">
        <f>MAX(-I197,-I200)</f>
        <v>310.91256199707169</v>
      </c>
      <c r="J201" s="204">
        <f>MAX(-J197,-J200)</f>
        <v>167.55438797700896</v>
      </c>
      <c r="K201" s="204">
        <f>MAX(-K197,-K200)</f>
        <v>72.74621679934711</v>
      </c>
      <c r="L201" s="204">
        <f>MAX(-L197,-L200)</f>
        <v>-14.02213143539575</v>
      </c>
      <c r="M201" s="78"/>
      <c r="N201" s="78"/>
    </row>
    <row r="202" spans="1:14" s="99" customFormat="1" outlineLevel="1" x14ac:dyDescent="0.15">
      <c r="A202" s="78"/>
      <c r="B202" s="119" t="s">
        <v>141</v>
      </c>
      <c r="C202" s="78"/>
      <c r="D202" s="241"/>
      <c r="E202" s="242"/>
      <c r="F202" s="242"/>
      <c r="G202" s="243"/>
      <c r="H202" s="205">
        <f>H200+H201</f>
        <v>6438.0240324558044</v>
      </c>
      <c r="I202" s="205">
        <f>I200+I201</f>
        <v>6748.9365944528763</v>
      </c>
      <c r="J202" s="205">
        <f>J200+J201</f>
        <v>6916.4909824298857</v>
      </c>
      <c r="K202" s="205">
        <f>K200+K201</f>
        <v>6989.2371992292328</v>
      </c>
      <c r="L202" s="205">
        <f>L200+L201</f>
        <v>6975.2150677938371</v>
      </c>
      <c r="M202" s="78"/>
      <c r="N202" s="78"/>
    </row>
    <row r="203" spans="1:14" s="99" customFormat="1" outlineLevel="1" x14ac:dyDescent="0.15">
      <c r="A203" s="78"/>
      <c r="B203" s="103" t="s">
        <v>142</v>
      </c>
      <c r="C203" s="78"/>
      <c r="D203" s="241"/>
      <c r="E203" s="242"/>
      <c r="F203" s="242"/>
      <c r="G203" s="243"/>
      <c r="H203" s="204">
        <f>-H200*Inputs!H87</f>
        <v>-278.87164999999999</v>
      </c>
      <c r="I203" s="204">
        <f>-I200*Inputs!I87</f>
        <v>-321.90120162279027</v>
      </c>
      <c r="J203" s="204">
        <f>-J200*Inputs!J87</f>
        <v>-337.44682972264383</v>
      </c>
      <c r="K203" s="204">
        <f>-K200*Inputs!K87</f>
        <v>-345.82454912149433</v>
      </c>
      <c r="L203" s="204">
        <f>-L200*Inputs!L87</f>
        <v>-349.46185996146164</v>
      </c>
      <c r="M203" s="78"/>
      <c r="N203" s="78"/>
    </row>
    <row r="204" spans="1:14" s="99" customFormat="1" outlineLevel="1" x14ac:dyDescent="0.15">
      <c r="A204" s="78"/>
      <c r="B204" s="100"/>
      <c r="C204" s="78"/>
      <c r="D204" s="241"/>
      <c r="E204" s="242"/>
      <c r="F204" s="242"/>
      <c r="G204" s="243"/>
      <c r="H204" s="118"/>
      <c r="I204" s="118"/>
      <c r="J204" s="118"/>
      <c r="K204" s="118"/>
      <c r="L204" s="118"/>
      <c r="M204" s="78"/>
      <c r="N204" s="78"/>
    </row>
    <row r="205" spans="1:14" s="99" customFormat="1" outlineLevel="1" x14ac:dyDescent="0.15">
      <c r="A205" s="78"/>
      <c r="B205" s="117" t="s">
        <v>72</v>
      </c>
      <c r="C205" s="78"/>
      <c r="D205" s="241"/>
      <c r="E205" s="242"/>
      <c r="F205" s="242"/>
      <c r="G205" s="243"/>
      <c r="H205" s="118"/>
      <c r="I205" s="118"/>
      <c r="J205" s="118"/>
      <c r="K205" s="118"/>
      <c r="L205" s="118"/>
      <c r="M205" s="78"/>
      <c r="N205" s="78"/>
    </row>
    <row r="206" spans="1:14" s="99" customFormat="1" outlineLevel="1" x14ac:dyDescent="0.15">
      <c r="A206" s="78"/>
      <c r="B206" s="103" t="s">
        <v>143</v>
      </c>
      <c r="C206" s="78"/>
      <c r="D206" s="241"/>
      <c r="E206" s="242"/>
      <c r="F206" s="242"/>
      <c r="G206" s="243"/>
      <c r="H206" s="204">
        <f>G99</f>
        <v>542.64400000000001</v>
      </c>
      <c r="I206" s="204">
        <f>H99</f>
        <v>722.17492547200004</v>
      </c>
      <c r="J206" s="204">
        <f>I99</f>
        <v>702.30826185856006</v>
      </c>
      <c r="K206" s="204">
        <f>J99</f>
        <v>699.00931152943372</v>
      </c>
      <c r="L206" s="204">
        <f>K99</f>
        <v>705.63132672386917</v>
      </c>
      <c r="M206" s="78"/>
      <c r="N206" s="78"/>
    </row>
    <row r="207" spans="1:14" s="99" customFormat="1" outlineLevel="1" x14ac:dyDescent="0.15">
      <c r="A207" s="78"/>
      <c r="B207" s="103" t="s">
        <v>144</v>
      </c>
      <c r="C207" s="78"/>
      <c r="D207" s="241"/>
      <c r="E207" s="242"/>
      <c r="F207" s="242"/>
      <c r="G207" s="243"/>
      <c r="H207" s="204">
        <f>H178</f>
        <v>374.88276547200002</v>
      </c>
      <c r="I207" s="204">
        <f>I178</f>
        <v>240.11630955648005</v>
      </c>
      <c r="J207" s="204">
        <f>J178</f>
        <v>249.53202393995522</v>
      </c>
      <c r="K207" s="204">
        <f>K178</f>
        <v>258.26536734503156</v>
      </c>
      <c r="L207" s="204">
        <f>L178</f>
        <v>266.77617320586398</v>
      </c>
      <c r="M207" s="78"/>
      <c r="N207" s="78"/>
    </row>
    <row r="208" spans="1:14" s="99" customFormat="1" outlineLevel="1" x14ac:dyDescent="0.15">
      <c r="A208" s="78"/>
      <c r="B208" s="103" t="s">
        <v>145</v>
      </c>
      <c r="C208" s="78"/>
      <c r="D208" s="241"/>
      <c r="E208" s="242"/>
      <c r="F208" s="242"/>
      <c r="G208" s="243"/>
      <c r="H208" s="204">
        <f>-H206*Inputs!H89</f>
        <v>-195.35183999999998</v>
      </c>
      <c r="I208" s="204">
        <f>-I206*Inputs!I89</f>
        <v>-259.98297316992</v>
      </c>
      <c r="J208" s="204">
        <f>-J206*Inputs!J89</f>
        <v>-252.83097426908162</v>
      </c>
      <c r="K208" s="204">
        <f>-K206*Inputs!K89</f>
        <v>-251.64335215059612</v>
      </c>
      <c r="L208" s="204">
        <f>-L206*Inputs!L89</f>
        <v>-254.02727762059288</v>
      </c>
      <c r="M208" s="78"/>
      <c r="N208" s="78"/>
    </row>
    <row r="209" spans="1:14" s="99" customFormat="1" outlineLevel="1" x14ac:dyDescent="0.15">
      <c r="A209" s="78"/>
      <c r="B209" s="119" t="s">
        <v>146</v>
      </c>
      <c r="C209" s="78"/>
      <c r="D209" s="241"/>
      <c r="E209" s="242"/>
      <c r="F209" s="242"/>
      <c r="G209" s="243"/>
      <c r="H209" s="205">
        <f>SUM(H206:H208)</f>
        <v>722.17492547200004</v>
      </c>
      <c r="I209" s="205">
        <f>SUM(I206:I208)</f>
        <v>702.30826185856006</v>
      </c>
      <c r="J209" s="205">
        <f>SUM(J206:J208)</f>
        <v>699.00931152943372</v>
      </c>
      <c r="K209" s="205">
        <f>SUM(K206:K208)</f>
        <v>705.63132672386917</v>
      </c>
      <c r="L209" s="205">
        <f>SUM(L206:L208)</f>
        <v>718.38022230914021</v>
      </c>
      <c r="M209" s="78"/>
      <c r="N209" s="78"/>
    </row>
    <row r="210" spans="1:14" s="99" customFormat="1" outlineLevel="1" x14ac:dyDescent="0.15">
      <c r="A210" s="78"/>
      <c r="B210" s="103" t="s">
        <v>147</v>
      </c>
      <c r="C210" s="78"/>
      <c r="D210" s="241"/>
      <c r="E210" s="242"/>
      <c r="F210" s="242"/>
      <c r="G210" s="243"/>
      <c r="H210" s="204">
        <f>-H206*Inputs!H88</f>
        <v>-35.271860000000004</v>
      </c>
      <c r="I210" s="204">
        <f>-I206*Inputs!I88</f>
        <v>-46.941370155680005</v>
      </c>
      <c r="J210" s="204">
        <f>-J206*Inputs!J88</f>
        <v>-45.650037020806408</v>
      </c>
      <c r="K210" s="204">
        <f>-K206*Inputs!K88</f>
        <v>-45.435605249413193</v>
      </c>
      <c r="L210" s="204">
        <f>-L206*Inputs!L88</f>
        <v>-45.866036237051496</v>
      </c>
      <c r="M210" s="78"/>
      <c r="N210" s="78"/>
    </row>
    <row r="211" spans="1:14" s="99" customFormat="1" outlineLevel="1" x14ac:dyDescent="0.15">
      <c r="A211" s="78"/>
      <c r="B211" s="100"/>
      <c r="C211" s="78"/>
      <c r="D211" s="241"/>
      <c r="E211" s="242"/>
      <c r="F211" s="242"/>
      <c r="G211" s="243"/>
      <c r="H211" s="118"/>
      <c r="I211" s="118"/>
      <c r="J211" s="118"/>
      <c r="K211" s="118"/>
      <c r="L211" s="118"/>
      <c r="M211" s="78"/>
      <c r="N211" s="78"/>
    </row>
    <row r="212" spans="1:14" s="99" customFormat="1" outlineLevel="1" x14ac:dyDescent="0.15">
      <c r="A212" s="78"/>
      <c r="B212" s="117" t="s">
        <v>148</v>
      </c>
      <c r="C212" s="78"/>
      <c r="D212" s="241"/>
      <c r="E212" s="242"/>
      <c r="F212" s="242"/>
      <c r="G212" s="243"/>
      <c r="H212" s="118"/>
      <c r="I212" s="118"/>
      <c r="J212" s="118"/>
      <c r="K212" s="118"/>
      <c r="L212" s="118"/>
      <c r="M212" s="78"/>
      <c r="N212" s="78"/>
    </row>
    <row r="213" spans="1:14" s="99" customFormat="1" outlineLevel="1" x14ac:dyDescent="0.15">
      <c r="A213" s="78"/>
      <c r="B213" s="103" t="s">
        <v>149</v>
      </c>
      <c r="C213" s="78"/>
      <c r="D213" s="241"/>
      <c r="E213" s="242"/>
      <c r="F213" s="242"/>
      <c r="G213" s="243"/>
      <c r="H213" s="204">
        <f>H194*Inputs!H90</f>
        <v>3.1735899999999999</v>
      </c>
      <c r="I213" s="204">
        <f>I194*Inputs!I90</f>
        <v>2.5000000000000018</v>
      </c>
      <c r="J213" s="204">
        <f>J194*Inputs!J90</f>
        <v>2.5000000000000018</v>
      </c>
      <c r="K213" s="204">
        <f>K194*Inputs!K90</f>
        <v>2.5000000000000018</v>
      </c>
      <c r="L213" s="204">
        <f>L194*Inputs!L90</f>
        <v>2.5000000000000018</v>
      </c>
      <c r="M213" s="78"/>
      <c r="N213" s="78"/>
    </row>
    <row r="214" spans="1:14" s="99" customFormat="1" outlineLevel="1" x14ac:dyDescent="0.15">
      <c r="A214" s="78"/>
      <c r="B214" s="119" t="s">
        <v>40</v>
      </c>
      <c r="C214" s="78"/>
      <c r="D214" s="244"/>
      <c r="E214" s="245"/>
      <c r="F214" s="245"/>
      <c r="G214" s="246"/>
      <c r="H214" s="205">
        <f>H203+H210-Inputs!H91</f>
        <v>-339.14350999999999</v>
      </c>
      <c r="I214" s="205">
        <f>I203+I210-Inputs!I91</f>
        <v>-393.8425717784703</v>
      </c>
      <c r="J214" s="205">
        <f>J203+J210-Inputs!J91</f>
        <v>-408.09686674345022</v>
      </c>
      <c r="K214" s="205">
        <f>K203+K210-Inputs!K91</f>
        <v>-416.26015437090751</v>
      </c>
      <c r="L214" s="205">
        <f>L203+L210-Inputs!L91</f>
        <v>-420.32789619851314</v>
      </c>
      <c r="M214" s="78"/>
      <c r="N214" s="78"/>
    </row>
    <row r="215" spans="1:14" s="99" customFormat="1" outlineLevel="1" x14ac:dyDescent="0.15">
      <c r="A215" s="78"/>
      <c r="B215" s="82"/>
      <c r="C215" s="78"/>
      <c r="D215" s="118"/>
      <c r="E215" s="118"/>
      <c r="F215" s="118"/>
      <c r="G215" s="118"/>
      <c r="H215" s="118"/>
      <c r="I215" s="118"/>
      <c r="J215" s="118"/>
      <c r="K215" s="118"/>
      <c r="L215" s="118"/>
      <c r="M215" s="78"/>
      <c r="N215" s="78"/>
    </row>
    <row r="216" spans="1:14" outlineLevel="1" x14ac:dyDescent="0.15">
      <c r="A216" s="78"/>
      <c r="B216" s="87" t="s">
        <v>71</v>
      </c>
      <c r="C216" s="78"/>
      <c r="D216" s="96">
        <f t="shared" ref="D216:G217" si="73">D98</f>
        <v>3550.0250000000001</v>
      </c>
      <c r="E216" s="96">
        <f t="shared" si="73"/>
        <v>3601.26</v>
      </c>
      <c r="F216" s="96">
        <f t="shared" si="73"/>
        <v>4769.0450000000001</v>
      </c>
      <c r="G216" s="96">
        <f t="shared" si="73"/>
        <v>5577.433</v>
      </c>
      <c r="H216" s="96">
        <f>H202</f>
        <v>6438.0240324558044</v>
      </c>
      <c r="I216" s="96">
        <f>I202</f>
        <v>6748.9365944528763</v>
      </c>
      <c r="J216" s="96">
        <f>J202</f>
        <v>6916.4909824298857</v>
      </c>
      <c r="K216" s="96">
        <f>K202</f>
        <v>6989.2371992292328</v>
      </c>
      <c r="L216" s="96">
        <f>L202</f>
        <v>6975.2150677938371</v>
      </c>
      <c r="M216" s="78"/>
      <c r="N216" s="78"/>
    </row>
    <row r="217" spans="1:14" outlineLevel="1" x14ac:dyDescent="0.15">
      <c r="A217" s="78"/>
      <c r="B217" s="87" t="s">
        <v>72</v>
      </c>
      <c r="C217" s="78"/>
      <c r="D217" s="96">
        <f t="shared" si="73"/>
        <v>371.45699999999999</v>
      </c>
      <c r="E217" s="96">
        <f t="shared" si="73"/>
        <v>329.54300000000001</v>
      </c>
      <c r="F217" s="96">
        <f t="shared" si="73"/>
        <v>414.62599999999998</v>
      </c>
      <c r="G217" s="96">
        <f t="shared" si="73"/>
        <v>542.64400000000001</v>
      </c>
      <c r="H217" s="96">
        <f>H209</f>
        <v>722.17492547200004</v>
      </c>
      <c r="I217" s="96">
        <f>I209</f>
        <v>702.30826185856006</v>
      </c>
      <c r="J217" s="96">
        <f>J209</f>
        <v>699.00931152943372</v>
      </c>
      <c r="K217" s="96">
        <f>K209</f>
        <v>705.63132672386917</v>
      </c>
      <c r="L217" s="96">
        <f>L209</f>
        <v>718.38022230914021</v>
      </c>
      <c r="M217" s="78"/>
      <c r="N217" s="78"/>
    </row>
    <row r="218" spans="1:14" outlineLevel="1" x14ac:dyDescent="0.15">
      <c r="A218" s="78"/>
      <c r="B218" s="87" t="s">
        <v>150</v>
      </c>
      <c r="C218" s="78"/>
      <c r="D218" s="96">
        <f t="shared" ref="D218:L218" si="74">-D83</f>
        <v>-626.44200000000001</v>
      </c>
      <c r="E218" s="96">
        <f t="shared" si="74"/>
        <v>-1071.0989999999999</v>
      </c>
      <c r="F218" s="96">
        <f t="shared" si="74"/>
        <v>-1229.999</v>
      </c>
      <c r="G218" s="96">
        <f t="shared" si="74"/>
        <v>-634.71799999999996</v>
      </c>
      <c r="H218" s="96">
        <f t="shared" si="74"/>
        <v>-500.00000000000034</v>
      </c>
      <c r="I218" s="96">
        <f t="shared" si="74"/>
        <v>-500.00000000000034</v>
      </c>
      <c r="J218" s="96">
        <f t="shared" si="74"/>
        <v>-500.00000000000034</v>
      </c>
      <c r="K218" s="96">
        <f t="shared" si="74"/>
        <v>-500.00000000000034</v>
      </c>
      <c r="L218" s="96">
        <f t="shared" si="74"/>
        <v>-500.00000000000034</v>
      </c>
      <c r="M218" s="78"/>
      <c r="N218" s="78"/>
    </row>
    <row r="219" spans="1:14" outlineLevel="1" x14ac:dyDescent="0.15">
      <c r="A219" s="78"/>
      <c r="B219" s="80" t="s">
        <v>151</v>
      </c>
      <c r="C219" s="78"/>
      <c r="D219" s="199">
        <f t="shared" ref="D219:L219" si="75">SUM(D216:D218)</f>
        <v>3295.04</v>
      </c>
      <c r="E219" s="199">
        <f t="shared" si="75"/>
        <v>2859.7040000000006</v>
      </c>
      <c r="F219" s="199">
        <f t="shared" si="75"/>
        <v>3953.6720000000005</v>
      </c>
      <c r="G219" s="199">
        <f t="shared" si="75"/>
        <v>5485.3590000000004</v>
      </c>
      <c r="H219" s="199">
        <f t="shared" si="75"/>
        <v>6660.1989579278043</v>
      </c>
      <c r="I219" s="199">
        <f t="shared" si="75"/>
        <v>6951.2448563114367</v>
      </c>
      <c r="J219" s="199">
        <f t="shared" si="75"/>
        <v>7115.5002939593196</v>
      </c>
      <c r="K219" s="199">
        <f t="shared" si="75"/>
        <v>7194.8685259531021</v>
      </c>
      <c r="L219" s="199">
        <f t="shared" si="75"/>
        <v>7193.5952901029777</v>
      </c>
      <c r="M219" s="78"/>
      <c r="N219" s="78"/>
    </row>
    <row r="220" spans="1:14" outlineLevel="1" x14ac:dyDescent="0.15">
      <c r="A220" s="78"/>
      <c r="B220" s="87" t="s">
        <v>28</v>
      </c>
      <c r="C220" s="78"/>
      <c r="D220" s="96">
        <f t="shared" ref="D220:L220" si="76">D38</f>
        <v>1110.4310000000003</v>
      </c>
      <c r="E220" s="96">
        <f t="shared" si="76"/>
        <v>1253.4039999999993</v>
      </c>
      <c r="F220" s="96">
        <f t="shared" si="76"/>
        <v>1850.9929999999999</v>
      </c>
      <c r="G220" s="96">
        <f t="shared" si="76"/>
        <v>1816.4429999999998</v>
      </c>
      <c r="H220" s="96">
        <f t="shared" si="76"/>
        <v>1885.9221448704006</v>
      </c>
      <c r="I220" s="96">
        <f t="shared" si="76"/>
        <v>1932.9362919296641</v>
      </c>
      <c r="J220" s="96">
        <f t="shared" si="76"/>
        <v>2021.2093939136362</v>
      </c>
      <c r="K220" s="96">
        <f t="shared" si="76"/>
        <v>2104.8627438620078</v>
      </c>
      <c r="L220" s="96">
        <f t="shared" si="76"/>
        <v>2174.2258116277912</v>
      </c>
      <c r="M220" s="78"/>
      <c r="N220" s="78"/>
    </row>
    <row r="221" spans="1:14" outlineLevel="1" x14ac:dyDescent="0.15">
      <c r="A221" s="78"/>
      <c r="B221" s="80" t="s">
        <v>152</v>
      </c>
      <c r="C221" s="82" t="s">
        <v>133</v>
      </c>
      <c r="D221" s="206">
        <f t="shared" ref="D221:L221" si="77">D219/D220</f>
        <v>2.967352316352839</v>
      </c>
      <c r="E221" s="206">
        <f t="shared" si="77"/>
        <v>2.2815500828144812</v>
      </c>
      <c r="F221" s="206">
        <f t="shared" si="77"/>
        <v>2.1359735017906609</v>
      </c>
      <c r="G221" s="206">
        <f t="shared" si="77"/>
        <v>3.0198354696514018</v>
      </c>
      <c r="H221" s="206">
        <f t="shared" si="77"/>
        <v>3.5315344146327359</v>
      </c>
      <c r="I221" s="206">
        <f t="shared" si="77"/>
        <v>3.5962100175438061</v>
      </c>
      <c r="J221" s="206">
        <f t="shared" si="77"/>
        <v>3.5204171895231933</v>
      </c>
      <c r="K221" s="206">
        <f t="shared" si="77"/>
        <v>3.4182126824820598</v>
      </c>
      <c r="L221" s="206">
        <f t="shared" si="77"/>
        <v>3.3085778172770857</v>
      </c>
      <c r="M221" s="78"/>
      <c r="N221" s="82"/>
    </row>
    <row r="222" spans="1:14" outlineLevel="1" x14ac:dyDescent="0.15">
      <c r="A222" s="78"/>
      <c r="B222" s="87" t="s">
        <v>142</v>
      </c>
      <c r="C222" s="78"/>
      <c r="D222" s="96">
        <f>-Hist!D235</f>
        <v>-197.81100000000001</v>
      </c>
      <c r="E222" s="96">
        <f>-Hist!E235</f>
        <v>-229.40600000000001</v>
      </c>
      <c r="F222" s="96">
        <f>-Hist!F235</f>
        <v>-282.45400000000001</v>
      </c>
      <c r="G222" s="96">
        <f>-Hist!G235</f>
        <v>-232.791</v>
      </c>
      <c r="H222" s="96">
        <f>H203</f>
        <v>-278.87164999999999</v>
      </c>
      <c r="I222" s="96">
        <f>I203</f>
        <v>-321.90120162279027</v>
      </c>
      <c r="J222" s="96">
        <f>J203</f>
        <v>-337.44682972264383</v>
      </c>
      <c r="K222" s="96">
        <f>K203</f>
        <v>-345.82454912149433</v>
      </c>
      <c r="L222" s="96">
        <f>L203</f>
        <v>-349.46185996146164</v>
      </c>
      <c r="M222" s="78"/>
      <c r="N222" s="78"/>
    </row>
    <row r="223" spans="1:14" outlineLevel="1" x14ac:dyDescent="0.15">
      <c r="A223" s="78"/>
      <c r="B223" s="87" t="s">
        <v>153</v>
      </c>
      <c r="C223" s="78"/>
      <c r="D223" s="95"/>
      <c r="E223" s="95">
        <f>-E222/D216</f>
        <v>6.4620953373567797E-2</v>
      </c>
      <c r="F223" s="95">
        <f>-F222/E216</f>
        <v>7.8431993246808066E-2</v>
      </c>
      <c r="G223" s="95">
        <f>-G222/F216</f>
        <v>4.8812917470898262E-2</v>
      </c>
      <c r="H223" s="95">
        <f>-H222/H200</f>
        <v>4.9999999999999996E-2</v>
      </c>
      <c r="I223" s="95">
        <f>-I222/I200</f>
        <v>5.000000000000001E-2</v>
      </c>
      <c r="J223" s="95">
        <f>-J222/J200</f>
        <v>0.05</v>
      </c>
      <c r="K223" s="95">
        <f>-K222/K200</f>
        <v>5.000000000000001E-2</v>
      </c>
      <c r="L223" s="95">
        <f>-L222/L200</f>
        <v>0.05</v>
      </c>
      <c r="M223" s="78"/>
      <c r="N223" s="82"/>
    </row>
    <row r="224" spans="1:14" outlineLevel="1" x14ac:dyDescent="0.15">
      <c r="A224" s="78"/>
      <c r="B224" s="92"/>
      <c r="C224" s="78"/>
      <c r="D224" s="200"/>
      <c r="E224" s="200"/>
      <c r="F224" s="200"/>
      <c r="G224" s="200"/>
      <c r="H224" s="200"/>
      <c r="I224" s="200"/>
      <c r="J224" s="200"/>
      <c r="K224" s="200"/>
      <c r="L224" s="200"/>
      <c r="M224" s="78"/>
      <c r="N224" s="78"/>
    </row>
    <row r="225" spans="1:14" x14ac:dyDescent="0.15">
      <c r="B225" s="117" t="s">
        <v>725</v>
      </c>
    </row>
    <row r="226" spans="1:14" x14ac:dyDescent="0.15">
      <c r="B226" s="87" t="s">
        <v>726</v>
      </c>
      <c r="C226" s="82" t="s">
        <v>133</v>
      </c>
      <c r="D226" s="203">
        <f>D38/-(D63+D64)</f>
        <v>13.411650321271564</v>
      </c>
      <c r="E226" s="203">
        <f t="shared" ref="E226:L226" si="78">E38/-(E63+E64)</f>
        <v>4.7972412314946631</v>
      </c>
      <c r="F226" s="203">
        <f t="shared" si="78"/>
        <v>5.8710799846482251</v>
      </c>
      <c r="G226" s="203">
        <f t="shared" si="78"/>
        <v>7.9004636475930328</v>
      </c>
      <c r="H226" s="203">
        <f t="shared" si="78"/>
        <v>5.6133660563136143</v>
      </c>
      <c r="I226" s="203">
        <f t="shared" si="78"/>
        <v>4.9392435971005302</v>
      </c>
      <c r="J226" s="203">
        <f t="shared" si="78"/>
        <v>4.983296370462595</v>
      </c>
      <c r="K226" s="203">
        <f t="shared" si="78"/>
        <v>5.0871567057062324</v>
      </c>
      <c r="L226" s="203">
        <f t="shared" si="78"/>
        <v>5.2036396597961962</v>
      </c>
    </row>
    <row r="227" spans="1:14" x14ac:dyDescent="0.15">
      <c r="B227" s="87" t="s">
        <v>727</v>
      </c>
      <c r="C227" s="82" t="s">
        <v>133</v>
      </c>
      <c r="D227" s="203">
        <f>D118/-(D119+D132)</f>
        <v>2.6317721345699723</v>
      </c>
      <c r="E227" s="203">
        <f t="shared" ref="E227:L227" si="79">E118/-(E119+E132)</f>
        <v>3.928986347192561</v>
      </c>
      <c r="F227" s="203">
        <f t="shared" si="79"/>
        <v>3.8016743747178952</v>
      </c>
      <c r="G227" s="203">
        <f t="shared" si="79"/>
        <v>2.9795325217186903</v>
      </c>
      <c r="H227" s="203">
        <f t="shared" si="79"/>
        <v>3.1068171143195085</v>
      </c>
      <c r="I227" s="203">
        <f t="shared" si="79"/>
        <v>2.7666640796500928</v>
      </c>
      <c r="J227" s="203">
        <f t="shared" si="79"/>
        <v>2.836356372790187</v>
      </c>
      <c r="K227" s="203">
        <f t="shared" si="79"/>
        <v>2.9114900692128032</v>
      </c>
      <c r="L227" s="203">
        <f t="shared" si="79"/>
        <v>2.9671429787388233</v>
      </c>
    </row>
    <row r="228" spans="1:14" x14ac:dyDescent="0.15">
      <c r="B228" s="87" t="s">
        <v>721</v>
      </c>
      <c r="C228" s="82" t="s">
        <v>194</v>
      </c>
      <c r="D228" s="95">
        <f>-D123/D38</f>
        <v>0.37254273340711841</v>
      </c>
      <c r="E228" s="95">
        <f t="shared" ref="E228:L228" si="80">-E123/E38</f>
        <v>0.33276022734888372</v>
      </c>
      <c r="F228" s="95">
        <f t="shared" si="80"/>
        <v>0.44551600141113451</v>
      </c>
      <c r="G228" s="95">
        <f t="shared" si="80"/>
        <v>0.67409547120388591</v>
      </c>
      <c r="H228" s="95">
        <f t="shared" si="80"/>
        <v>0.60975609756097549</v>
      </c>
      <c r="I228" s="95">
        <f t="shared" si="80"/>
        <v>0.52795031055900632</v>
      </c>
      <c r="J228" s="95">
        <f t="shared" si="80"/>
        <v>0.46296296296296319</v>
      </c>
      <c r="K228" s="95">
        <f t="shared" si="80"/>
        <v>0.42944785276073605</v>
      </c>
      <c r="L228" s="95">
        <f t="shared" si="80"/>
        <v>0.39877300613496941</v>
      </c>
    </row>
    <row r="229" spans="1:14" outlineLevel="1" x14ac:dyDescent="0.15">
      <c r="A229" s="78"/>
      <c r="B229" s="92" t="s">
        <v>728</v>
      </c>
      <c r="C229" s="78"/>
      <c r="D229" s="78"/>
      <c r="E229" s="78"/>
      <c r="F229" s="78"/>
      <c r="G229" s="200">
        <f>Hist!E286</f>
        <v>5052.1189999999997</v>
      </c>
      <c r="H229" s="78"/>
      <c r="I229" s="78"/>
      <c r="J229" s="78"/>
      <c r="K229" s="78"/>
      <c r="L229" s="78"/>
      <c r="M229" s="78"/>
      <c r="N229" s="78"/>
    </row>
    <row r="230" spans="1:14" x14ac:dyDescent="0.15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</row>
    <row r="231" spans="1:14" ht="18" customHeight="1" x14ac:dyDescent="0.15">
      <c r="A231" s="78"/>
      <c r="B231" s="90" t="s">
        <v>154</v>
      </c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78"/>
      <c r="N231" s="78"/>
    </row>
    <row r="232" spans="1:14" outlineLevel="1" x14ac:dyDescent="0.15">
      <c r="A232" s="78"/>
      <c r="B232" s="82" t="s">
        <v>8</v>
      </c>
      <c r="C232" s="78"/>
      <c r="D232" s="93">
        <f t="shared" ref="D232:L232" si="81">D$4</f>
        <v>2022</v>
      </c>
      <c r="E232" s="93">
        <f t="shared" si="81"/>
        <v>2023</v>
      </c>
      <c r="F232" s="93">
        <f t="shared" si="81"/>
        <v>2024</v>
      </c>
      <c r="G232" s="93">
        <f t="shared" si="81"/>
        <v>2025</v>
      </c>
      <c r="H232" s="94">
        <f t="shared" si="81"/>
        <v>2026</v>
      </c>
      <c r="I232" s="94">
        <f t="shared" si="81"/>
        <v>2027</v>
      </c>
      <c r="J232" s="94">
        <f t="shared" si="81"/>
        <v>2028</v>
      </c>
      <c r="K232" s="94">
        <f t="shared" si="81"/>
        <v>2029</v>
      </c>
      <c r="L232" s="94">
        <f t="shared" si="81"/>
        <v>2030</v>
      </c>
      <c r="M232" s="78"/>
      <c r="N232" s="78"/>
    </row>
    <row r="233" spans="1:14" outlineLevel="1" x14ac:dyDescent="0.15">
      <c r="A233" s="78"/>
      <c r="B233" s="87" t="s">
        <v>75</v>
      </c>
      <c r="C233" s="78"/>
      <c r="D233" s="96">
        <f t="shared" ref="D233:L233" si="82">D102</f>
        <v>1332.365</v>
      </c>
      <c r="E233" s="96">
        <f t="shared" si="82"/>
        <v>1457.8449999999998</v>
      </c>
      <c r="F233" s="96">
        <f t="shared" si="82"/>
        <v>1690.6409999999998</v>
      </c>
      <c r="G233" s="96">
        <f t="shared" si="82"/>
        <v>1947.8909999999998</v>
      </c>
      <c r="H233" s="96">
        <f t="shared" si="82"/>
        <v>1956.9758625538916</v>
      </c>
      <c r="I233" s="96">
        <f t="shared" si="82"/>
        <v>1884.7798013839281</v>
      </c>
      <c r="J233" s="96">
        <f t="shared" si="82"/>
        <v>1834.3111619582307</v>
      </c>
      <c r="K233" s="96">
        <f t="shared" si="82"/>
        <v>1820.7596706385598</v>
      </c>
      <c r="L233" s="96">
        <f t="shared" si="82"/>
        <v>1842.4629745465325</v>
      </c>
      <c r="M233" s="78"/>
      <c r="N233" s="78"/>
    </row>
    <row r="234" spans="1:14" outlineLevel="1" x14ac:dyDescent="0.15">
      <c r="A234" s="78"/>
      <c r="B234" s="87" t="s">
        <v>45</v>
      </c>
      <c r="C234" s="78"/>
      <c r="D234" s="96">
        <f t="shared" ref="D234:L234" si="83">D103</f>
        <v>-44.735999999999997</v>
      </c>
      <c r="E234" s="96">
        <f t="shared" si="83"/>
        <v>5.0000000000000001E-3</v>
      </c>
      <c r="F234" s="96">
        <f t="shared" si="83"/>
        <v>333.36700000000002</v>
      </c>
      <c r="G234" s="96">
        <f t="shared" si="83"/>
        <v>334.98500000000001</v>
      </c>
      <c r="H234" s="96">
        <f t="shared" si="83"/>
        <v>358.99810045020484</v>
      </c>
      <c r="I234" s="96">
        <f t="shared" si="83"/>
        <v>378.77769465178574</v>
      </c>
      <c r="J234" s="96">
        <f t="shared" si="83"/>
        <v>399.70083736622269</v>
      </c>
      <c r="K234" s="96">
        <f t="shared" si="83"/>
        <v>422.56698787571366</v>
      </c>
      <c r="L234" s="96">
        <f t="shared" si="83"/>
        <v>447.28865392350167</v>
      </c>
      <c r="M234" s="78"/>
      <c r="N234" s="78"/>
    </row>
    <row r="235" spans="1:14" outlineLevel="1" x14ac:dyDescent="0.15">
      <c r="A235" s="78"/>
      <c r="B235" s="87" t="s">
        <v>46</v>
      </c>
      <c r="C235" s="78"/>
      <c r="D235" s="96">
        <f t="shared" ref="D235:L235" si="84">D70</f>
        <v>269.15000000000083</v>
      </c>
      <c r="E235" s="96">
        <f t="shared" si="84"/>
        <v>365.39699999999976</v>
      </c>
      <c r="F235" s="96">
        <f t="shared" si="84"/>
        <v>597.89099999999769</v>
      </c>
      <c r="G235" s="96">
        <f t="shared" si="84"/>
        <v>673.92299999999886</v>
      </c>
      <c r="H235" s="96">
        <f t="shared" si="84"/>
        <v>456.24890855389191</v>
      </c>
      <c r="I235" s="96">
        <f t="shared" si="84"/>
        <v>375.81228983003649</v>
      </c>
      <c r="J235" s="96">
        <f t="shared" si="84"/>
        <v>397.5397115743026</v>
      </c>
      <c r="K235" s="96">
        <f t="shared" si="84"/>
        <v>434.45685968032893</v>
      </c>
      <c r="L235" s="96">
        <f t="shared" si="84"/>
        <v>469.71165490797256</v>
      </c>
      <c r="M235" s="78"/>
      <c r="N235" s="78"/>
    </row>
    <row r="236" spans="1:14" outlineLevel="1" x14ac:dyDescent="0.15">
      <c r="A236" s="78"/>
      <c r="B236" s="87" t="s">
        <v>51</v>
      </c>
      <c r="C236" s="82" t="s">
        <v>50</v>
      </c>
      <c r="D236" s="98">
        <f t="shared" ref="D236:L236" si="85">D77</f>
        <v>13.5</v>
      </c>
      <c r="E236" s="98">
        <f t="shared" si="85"/>
        <v>13.5</v>
      </c>
      <c r="F236" s="98">
        <f t="shared" si="85"/>
        <v>21</v>
      </c>
      <c r="G236" s="98">
        <f t="shared" si="85"/>
        <v>21</v>
      </c>
      <c r="H236" s="98">
        <f t="shared" si="85"/>
        <v>21</v>
      </c>
      <c r="I236" s="98">
        <f t="shared" si="85"/>
        <v>21</v>
      </c>
      <c r="J236" s="98">
        <f t="shared" si="85"/>
        <v>21</v>
      </c>
      <c r="K236" s="98">
        <f t="shared" si="85"/>
        <v>21</v>
      </c>
      <c r="L236" s="98">
        <f t="shared" si="85"/>
        <v>21</v>
      </c>
      <c r="M236" s="78"/>
      <c r="N236" s="78"/>
    </row>
    <row r="237" spans="1:14" outlineLevel="1" x14ac:dyDescent="0.15">
      <c r="A237" s="78"/>
      <c r="B237" s="87" t="s">
        <v>52</v>
      </c>
      <c r="C237" s="82" t="s">
        <v>53</v>
      </c>
      <c r="D237" s="98">
        <f t="shared" ref="D237:L237" si="86">D78</f>
        <v>21.229711999999999</v>
      </c>
      <c r="E237" s="98">
        <f t="shared" si="86"/>
        <v>21.229711999999999</v>
      </c>
      <c r="F237" s="98">
        <f t="shared" si="86"/>
        <v>21.266681999999999</v>
      </c>
      <c r="G237" s="98">
        <f t="shared" si="86"/>
        <v>21.293526</v>
      </c>
      <c r="H237" s="98">
        <f t="shared" si="86"/>
        <v>21.333731</v>
      </c>
      <c r="I237" s="98">
        <f t="shared" si="86"/>
        <v>21.333731</v>
      </c>
      <c r="J237" s="98">
        <f t="shared" si="86"/>
        <v>21.333731</v>
      </c>
      <c r="K237" s="98">
        <f t="shared" si="86"/>
        <v>21.333731</v>
      </c>
      <c r="L237" s="98">
        <f t="shared" si="86"/>
        <v>21.333731</v>
      </c>
      <c r="M237" s="78"/>
      <c r="N237" s="78"/>
    </row>
    <row r="238" spans="1:14" outlineLevel="1" x14ac:dyDescent="0.15">
      <c r="A238" s="78"/>
      <c r="B238" s="80" t="s">
        <v>155</v>
      </c>
      <c r="C238" s="78"/>
      <c r="D238" s="199">
        <f t="shared" ref="D238:L238" si="87">D236*D237</f>
        <v>286.601112</v>
      </c>
      <c r="E238" s="199">
        <f t="shared" si="87"/>
        <v>286.601112</v>
      </c>
      <c r="F238" s="199">
        <f t="shared" si="87"/>
        <v>446.60032200000001</v>
      </c>
      <c r="G238" s="199">
        <f t="shared" si="87"/>
        <v>447.16404599999998</v>
      </c>
      <c r="H238" s="199">
        <f>H236*H237</f>
        <v>448.008351</v>
      </c>
      <c r="I238" s="199">
        <f t="shared" si="87"/>
        <v>448.008351</v>
      </c>
      <c r="J238" s="199">
        <f t="shared" si="87"/>
        <v>448.008351</v>
      </c>
      <c r="K238" s="199">
        <f t="shared" si="87"/>
        <v>448.008351</v>
      </c>
      <c r="L238" s="199">
        <f t="shared" si="87"/>
        <v>448.008351</v>
      </c>
      <c r="M238" s="78"/>
      <c r="N238" s="82"/>
    </row>
    <row r="239" spans="1:14" outlineLevel="1" x14ac:dyDescent="0.15">
      <c r="A239" s="78"/>
      <c r="B239" s="80" t="s">
        <v>156</v>
      </c>
      <c r="C239" s="78"/>
      <c r="D239" s="97">
        <f t="shared" ref="D239:L239" si="88">D238/D235</f>
        <v>1.0648378673602048</v>
      </c>
      <c r="E239" s="97">
        <f t="shared" si="88"/>
        <v>0.78435540521679215</v>
      </c>
      <c r="F239" s="97">
        <f t="shared" si="88"/>
        <v>0.74695943240490614</v>
      </c>
      <c r="G239" s="97">
        <f t="shared" si="88"/>
        <v>0.66352394264626779</v>
      </c>
      <c r="H239" s="97">
        <f t="shared" si="88"/>
        <v>0.98193846078446334</v>
      </c>
      <c r="I239" s="97">
        <f t="shared" si="88"/>
        <v>1.1921067062565054</v>
      </c>
      <c r="J239" s="97">
        <f t="shared" si="88"/>
        <v>1.1269524476582122</v>
      </c>
      <c r="K239" s="97">
        <f t="shared" si="88"/>
        <v>1.0311917996406874</v>
      </c>
      <c r="L239" s="97">
        <f t="shared" si="88"/>
        <v>0.95379441050440883</v>
      </c>
      <c r="M239" s="78"/>
      <c r="N239" s="78"/>
    </row>
    <row r="240" spans="1:14" outlineLevel="1" x14ac:dyDescent="0.15">
      <c r="A240" s="78"/>
      <c r="B240" s="87" t="s">
        <v>157</v>
      </c>
      <c r="C240" s="78"/>
      <c r="D240" s="96">
        <f t="shared" ref="D240:L240" si="89">D135</f>
        <v>-253.012</v>
      </c>
      <c r="E240" s="96">
        <f t="shared" si="89"/>
        <v>-286.601</v>
      </c>
      <c r="F240" s="96">
        <f t="shared" si="89"/>
        <v>-449.83</v>
      </c>
      <c r="G240" s="96">
        <f t="shared" si="89"/>
        <v>-274.83999999999997</v>
      </c>
      <c r="H240" s="96">
        <f t="shared" si="89"/>
        <v>-447.16404599999998</v>
      </c>
      <c r="I240" s="96">
        <f t="shared" si="89"/>
        <v>-448.008351</v>
      </c>
      <c r="J240" s="96">
        <f t="shared" si="89"/>
        <v>-448.008351</v>
      </c>
      <c r="K240" s="96">
        <f t="shared" si="89"/>
        <v>-448.008351</v>
      </c>
      <c r="L240" s="96">
        <f t="shared" si="89"/>
        <v>-448.008351</v>
      </c>
      <c r="M240" s="78"/>
      <c r="N240" s="82"/>
    </row>
    <row r="241" spans="1:14" x14ac:dyDescent="0.15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</row>
    <row r="242" spans="1:14" ht="18" customHeight="1" x14ac:dyDescent="0.15">
      <c r="A242" s="78"/>
      <c r="B242" s="90" t="s">
        <v>158</v>
      </c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78"/>
      <c r="N242" s="78"/>
    </row>
    <row r="243" spans="1:14" outlineLevel="1" x14ac:dyDescent="0.15">
      <c r="A243" s="78"/>
      <c r="B243" s="82" t="s">
        <v>8</v>
      </c>
      <c r="C243" s="78"/>
      <c r="D243" s="93">
        <f t="shared" ref="D243:L243" si="90">D$4</f>
        <v>2022</v>
      </c>
      <c r="E243" s="93">
        <f t="shared" si="90"/>
        <v>2023</v>
      </c>
      <c r="F243" s="93">
        <f t="shared" si="90"/>
        <v>2024</v>
      </c>
      <c r="G243" s="93">
        <f t="shared" si="90"/>
        <v>2025</v>
      </c>
      <c r="H243" s="94">
        <f t="shared" si="90"/>
        <v>2026</v>
      </c>
      <c r="I243" s="94">
        <f t="shared" si="90"/>
        <v>2027</v>
      </c>
      <c r="J243" s="94">
        <f t="shared" si="90"/>
        <v>2028</v>
      </c>
      <c r="K243" s="94">
        <f t="shared" si="90"/>
        <v>2029</v>
      </c>
      <c r="L243" s="94">
        <f t="shared" si="90"/>
        <v>2030</v>
      </c>
      <c r="M243" s="78"/>
      <c r="N243" s="78"/>
    </row>
    <row r="244" spans="1:14" outlineLevel="1" x14ac:dyDescent="0.15">
      <c r="A244" s="78"/>
      <c r="B244" s="87" t="s">
        <v>42</v>
      </c>
      <c r="C244" s="78"/>
      <c r="D244" s="96">
        <f t="shared" ref="D244:L244" si="91">D66</f>
        <v>399.84400000000085</v>
      </c>
      <c r="E244" s="96">
        <f t="shared" si="91"/>
        <v>481.94199999999972</v>
      </c>
      <c r="F244" s="96">
        <f t="shared" si="91"/>
        <v>927.29999999999768</v>
      </c>
      <c r="G244" s="96">
        <f t="shared" si="91"/>
        <v>932.90899999999885</v>
      </c>
      <c r="H244" s="96">
        <f t="shared" si="91"/>
        <v>649.00271487040095</v>
      </c>
      <c r="I244" s="96">
        <f t="shared" si="91"/>
        <v>534.58362706975322</v>
      </c>
      <c r="J244" s="96">
        <f t="shared" si="91"/>
        <v>565.49034363343185</v>
      </c>
      <c r="K244" s="96">
        <f t="shared" si="91"/>
        <v>618.00406782408095</v>
      </c>
      <c r="L244" s="96">
        <f t="shared" si="91"/>
        <v>668.15313642670344</v>
      </c>
      <c r="M244" s="78"/>
      <c r="N244" s="78"/>
    </row>
    <row r="245" spans="1:14" outlineLevel="1" x14ac:dyDescent="0.15">
      <c r="A245" s="78"/>
      <c r="B245" s="87" t="s">
        <v>43</v>
      </c>
      <c r="C245" s="78"/>
      <c r="D245" s="96">
        <f t="shared" ref="D245:L245" si="92">D67</f>
        <v>-135.92500000000001</v>
      </c>
      <c r="E245" s="96">
        <f t="shared" si="92"/>
        <v>-112.965</v>
      </c>
      <c r="F245" s="96">
        <f t="shared" si="92"/>
        <v>-274.149</v>
      </c>
      <c r="G245" s="96">
        <f t="shared" si="92"/>
        <v>-251.321</v>
      </c>
      <c r="H245" s="96">
        <f t="shared" si="92"/>
        <v>-168.74070586630424</v>
      </c>
      <c r="I245" s="96">
        <f t="shared" si="92"/>
        <v>-138.99174303813584</v>
      </c>
      <c r="J245" s="96">
        <f t="shared" si="92"/>
        <v>-147.0274893446923</v>
      </c>
      <c r="K245" s="96">
        <f t="shared" si="92"/>
        <v>-160.68105763426107</v>
      </c>
      <c r="L245" s="96">
        <f t="shared" si="92"/>
        <v>-173.7198154709429</v>
      </c>
      <c r="M245" s="78"/>
      <c r="N245" s="78"/>
    </row>
    <row r="246" spans="1:14" outlineLevel="1" x14ac:dyDescent="0.15">
      <c r="A246" s="78"/>
      <c r="B246" s="80" t="s">
        <v>159</v>
      </c>
      <c r="C246" s="78"/>
      <c r="D246" s="97">
        <f t="shared" ref="D246:L246" si="93">-D245/D244</f>
        <v>0.33994507858064577</v>
      </c>
      <c r="E246" s="97">
        <f t="shared" si="93"/>
        <v>0.23439542517564368</v>
      </c>
      <c r="F246" s="97">
        <f t="shared" si="93"/>
        <v>0.2956421869945009</v>
      </c>
      <c r="G246" s="97">
        <f t="shared" si="93"/>
        <v>0.26939497850272676</v>
      </c>
      <c r="H246" s="97">
        <f t="shared" si="93"/>
        <v>0.26</v>
      </c>
      <c r="I246" s="97">
        <f t="shared" si="93"/>
        <v>0.26</v>
      </c>
      <c r="J246" s="97">
        <f t="shared" si="93"/>
        <v>0.26</v>
      </c>
      <c r="K246" s="97">
        <f t="shared" si="93"/>
        <v>0.26</v>
      </c>
      <c r="L246" s="97">
        <f t="shared" si="93"/>
        <v>0.26</v>
      </c>
      <c r="M246" s="78"/>
      <c r="N246" s="82"/>
    </row>
    <row r="247" spans="1:14" outlineLevel="1" x14ac:dyDescent="0.15">
      <c r="A247" s="78"/>
      <c r="B247" s="87" t="s">
        <v>160</v>
      </c>
      <c r="C247" s="78"/>
      <c r="D247" s="96">
        <f t="shared" ref="D247:L247" si="94">D116</f>
        <v>-97.881</v>
      </c>
      <c r="E247" s="96">
        <f t="shared" si="94"/>
        <v>-83.644000000000005</v>
      </c>
      <c r="F247" s="96">
        <f t="shared" si="94"/>
        <v>-283.52300000000002</v>
      </c>
      <c r="G247" s="96">
        <f t="shared" si="94"/>
        <v>-355.23700000000002</v>
      </c>
      <c r="H247" s="96">
        <f t="shared" si="94"/>
        <v>-168.74070586630424</v>
      </c>
      <c r="I247" s="96">
        <f t="shared" si="94"/>
        <v>-138.99174303813584</v>
      </c>
      <c r="J247" s="96">
        <f t="shared" si="94"/>
        <v>-147.0274893446923</v>
      </c>
      <c r="K247" s="96">
        <f t="shared" si="94"/>
        <v>-160.68105763426107</v>
      </c>
      <c r="L247" s="96">
        <f t="shared" si="94"/>
        <v>-173.7198154709429</v>
      </c>
      <c r="M247" s="78"/>
      <c r="N247" s="78"/>
    </row>
    <row r="248" spans="1:14" outlineLevel="1" x14ac:dyDescent="0.15">
      <c r="A248" s="78"/>
      <c r="B248" s="87" t="s">
        <v>161</v>
      </c>
      <c r="C248" s="78"/>
      <c r="D248" s="95">
        <f t="shared" ref="D248:L248" si="95">-D247/D244</f>
        <v>0.24479797120877089</v>
      </c>
      <c r="E248" s="95">
        <f t="shared" si="95"/>
        <v>0.17355615406003222</v>
      </c>
      <c r="F248" s="95">
        <f t="shared" si="95"/>
        <v>0.30575110535964706</v>
      </c>
      <c r="G248" s="95">
        <f t="shared" si="95"/>
        <v>0.38078419224168752</v>
      </c>
      <c r="H248" s="95">
        <f t="shared" si="95"/>
        <v>0.26</v>
      </c>
      <c r="I248" s="95">
        <f t="shared" si="95"/>
        <v>0.26</v>
      </c>
      <c r="J248" s="95">
        <f t="shared" si="95"/>
        <v>0.26</v>
      </c>
      <c r="K248" s="95">
        <f t="shared" si="95"/>
        <v>0.26</v>
      </c>
      <c r="L248" s="95">
        <f t="shared" si="95"/>
        <v>0.26</v>
      </c>
      <c r="M248" s="78"/>
      <c r="N248" s="78"/>
    </row>
    <row r="249" spans="1:14" x14ac:dyDescent="0.15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</row>
    <row r="250" spans="1:14" ht="18" customHeight="1" x14ac:dyDescent="0.15">
      <c r="A250" s="138"/>
      <c r="B250" s="139" t="s">
        <v>162</v>
      </c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38"/>
      <c r="N250" s="138"/>
    </row>
    <row r="251" spans="1:14" outlineLevel="1" x14ac:dyDescent="0.15">
      <c r="A251" s="138"/>
      <c r="B251" s="141" t="s">
        <v>8</v>
      </c>
      <c r="C251" s="138"/>
      <c r="D251" s="138"/>
      <c r="E251" s="138"/>
      <c r="F251" s="138"/>
      <c r="G251" s="142" t="s">
        <v>701</v>
      </c>
      <c r="H251" s="142">
        <f>H$4</f>
        <v>2026</v>
      </c>
      <c r="I251" s="142">
        <f>I$4</f>
        <v>2027</v>
      </c>
      <c r="J251" s="142">
        <f>J$4</f>
        <v>2028</v>
      </c>
      <c r="K251" s="142">
        <f>K$4</f>
        <v>2029</v>
      </c>
      <c r="L251" s="142">
        <f>L$4</f>
        <v>2030</v>
      </c>
      <c r="M251" s="138"/>
      <c r="N251" s="141"/>
    </row>
    <row r="252" spans="1:14" outlineLevel="1" x14ac:dyDescent="0.15">
      <c r="A252" s="138"/>
      <c r="B252" s="143" t="s">
        <v>38</v>
      </c>
      <c r="C252" s="138"/>
      <c r="D252" s="138"/>
      <c r="E252" s="138"/>
      <c r="F252" s="138"/>
      <c r="G252" s="185">
        <f>Hist!E308+Hist!E322</f>
        <v>343.31200000000001</v>
      </c>
      <c r="H252" s="185">
        <f>H62</f>
        <v>984.97263487040095</v>
      </c>
      <c r="I252" s="185">
        <f>I62</f>
        <v>925.92619884822352</v>
      </c>
      <c r="J252" s="185">
        <f>J62</f>
        <v>971.08721037688201</v>
      </c>
      <c r="K252" s="185">
        <f>K62</f>
        <v>1031.7642221949884</v>
      </c>
      <c r="L252" s="185">
        <f>L62</f>
        <v>1085.9810326252166</v>
      </c>
      <c r="M252" s="138"/>
      <c r="N252" s="138"/>
    </row>
    <row r="253" spans="1:14" outlineLevel="1" x14ac:dyDescent="0.15">
      <c r="A253" s="138"/>
      <c r="B253" s="143" t="s">
        <v>163</v>
      </c>
      <c r="C253" s="138"/>
      <c r="D253" s="138"/>
      <c r="E253" s="138"/>
      <c r="F253" s="138"/>
      <c r="G253" s="185">
        <f>-G252*Inputs!H94</f>
        <v>-89.261120000000005</v>
      </c>
      <c r="H253" s="185">
        <f>-H252*Inputs!H94</f>
        <v>-256.09288506630423</v>
      </c>
      <c r="I253" s="185">
        <f>-I252*Inputs!I94</f>
        <v>-240.74081170053813</v>
      </c>
      <c r="J253" s="185">
        <f>-J252*Inputs!J94</f>
        <v>-252.48267469798932</v>
      </c>
      <c r="K253" s="185">
        <f>-K252*Inputs!K94</f>
        <v>-268.25869777069698</v>
      </c>
      <c r="L253" s="185">
        <f>-L252*Inputs!L94</f>
        <v>-282.35506848255631</v>
      </c>
      <c r="M253" s="138"/>
      <c r="N253" s="141"/>
    </row>
    <row r="254" spans="1:14" outlineLevel="1" x14ac:dyDescent="0.15">
      <c r="A254" s="138"/>
      <c r="B254" s="144" t="s">
        <v>164</v>
      </c>
      <c r="C254" s="138"/>
      <c r="D254" s="138"/>
      <c r="E254" s="138"/>
      <c r="F254" s="138"/>
      <c r="G254" s="186">
        <f t="shared" ref="G254:L254" si="96">SUM(G252:G253)</f>
        <v>254.05088000000001</v>
      </c>
      <c r="H254" s="186">
        <f t="shared" si="96"/>
        <v>728.87974980409672</v>
      </c>
      <c r="I254" s="186">
        <f t="shared" si="96"/>
        <v>685.18538714768533</v>
      </c>
      <c r="J254" s="186">
        <f t="shared" si="96"/>
        <v>718.60453567889272</v>
      </c>
      <c r="K254" s="186">
        <f t="shared" si="96"/>
        <v>763.50552442429148</v>
      </c>
      <c r="L254" s="186">
        <f t="shared" si="96"/>
        <v>803.62596414266022</v>
      </c>
      <c r="M254" s="138"/>
      <c r="N254" s="138"/>
    </row>
    <row r="255" spans="1:14" outlineLevel="1" x14ac:dyDescent="0.15">
      <c r="A255" s="138"/>
      <c r="B255" s="143" t="s">
        <v>165</v>
      </c>
      <c r="C255" s="138"/>
      <c r="D255" s="138"/>
      <c r="E255" s="138"/>
      <c r="F255" s="138"/>
      <c r="G255" s="185">
        <f>Hist!E377</f>
        <v>438.303</v>
      </c>
      <c r="H255" s="185">
        <f>H61*-1</f>
        <v>900.94951000000015</v>
      </c>
      <c r="I255" s="185">
        <f>I61*-1</f>
        <v>1007.0100930814401</v>
      </c>
      <c r="J255" s="185">
        <f>J61*-1</f>
        <v>1050.1221835367537</v>
      </c>
      <c r="K255" s="185">
        <f>K61*-1</f>
        <v>1073.0985216670194</v>
      </c>
      <c r="L255" s="185">
        <f>L61*-1</f>
        <v>1088.2447790025751</v>
      </c>
      <c r="M255" s="138"/>
      <c r="N255" s="138"/>
    </row>
    <row r="256" spans="1:14" outlineLevel="1" x14ac:dyDescent="0.15">
      <c r="A256" s="138"/>
      <c r="B256" s="143" t="s">
        <v>166</v>
      </c>
      <c r="C256" s="138"/>
      <c r="D256" s="138"/>
      <c r="E256" s="138"/>
      <c r="F256" s="138"/>
      <c r="G256" s="185">
        <f>Hist!E393</f>
        <v>-613.09</v>
      </c>
      <c r="H256" s="185">
        <f>H123</f>
        <v>-1149.9525273600002</v>
      </c>
      <c r="I256" s="185">
        <f>I123</f>
        <v>-1020.4943156150403</v>
      </c>
      <c r="J256" s="185">
        <f>J123</f>
        <v>-935.74508977483197</v>
      </c>
      <c r="K256" s="185">
        <f>K123</f>
        <v>-903.92878570761047</v>
      </c>
      <c r="L256" s="185">
        <f>L123</f>
        <v>-867.02256291905803</v>
      </c>
      <c r="M256" s="138"/>
      <c r="N256" s="138"/>
    </row>
    <row r="257" spans="1:14" outlineLevel="1" x14ac:dyDescent="0.15">
      <c r="A257" s="138"/>
      <c r="B257" s="143" t="s">
        <v>167</v>
      </c>
      <c r="C257" s="138"/>
      <c r="D257" s="138"/>
      <c r="E257" s="138"/>
      <c r="F257" s="138"/>
      <c r="G257" s="185">
        <f>-((Hist!E354+Hist!E360)-(Hist!D354+Hist!D360)-Hist!E400)</f>
        <v>-256.524</v>
      </c>
      <c r="H257" s="185">
        <f>H178*-1</f>
        <v>-374.88276547200002</v>
      </c>
      <c r="I257" s="185">
        <f>I178*-1</f>
        <v>-240.11630955648005</v>
      </c>
      <c r="J257" s="185">
        <f>J178*-1</f>
        <v>-249.53202393995522</v>
      </c>
      <c r="K257" s="185">
        <f>K178*-1</f>
        <v>-258.26536734503156</v>
      </c>
      <c r="L257" s="185">
        <f>L178*-1</f>
        <v>-266.77617320586398</v>
      </c>
      <c r="M257" s="138"/>
      <c r="N257" s="141"/>
    </row>
    <row r="258" spans="1:14" outlineLevel="1" x14ac:dyDescent="0.15">
      <c r="A258" s="138"/>
      <c r="B258" s="143" t="s">
        <v>116</v>
      </c>
      <c r="C258" s="138"/>
      <c r="D258" s="138"/>
      <c r="E258" s="138"/>
      <c r="F258" s="138"/>
      <c r="G258" s="185">
        <f>SUM(Hist!E388:E390)</f>
        <v>-314.09499999999997</v>
      </c>
      <c r="H258" s="185">
        <f>H168</f>
        <v>-56.602138099901367</v>
      </c>
      <c r="I258" s="185">
        <f>I168</f>
        <v>14.971100674830723</v>
      </c>
      <c r="J258" s="185">
        <f>J168</f>
        <v>0.44498924141089446</v>
      </c>
      <c r="K258" s="185">
        <f>K168</f>
        <v>0.41274020201990425</v>
      </c>
      <c r="L258" s="185">
        <f>L168</f>
        <v>0.40222301671064997</v>
      </c>
      <c r="M258" s="138"/>
      <c r="N258" s="138"/>
    </row>
    <row r="259" spans="1:14" outlineLevel="1" x14ac:dyDescent="0.15">
      <c r="A259" s="138"/>
      <c r="B259" s="144" t="s">
        <v>162</v>
      </c>
      <c r="C259" s="138"/>
      <c r="D259" s="138"/>
      <c r="E259" s="138"/>
      <c r="F259" s="138"/>
      <c r="G259" s="186">
        <f>SUM(G254:G258)</f>
        <v>-491.35512</v>
      </c>
      <c r="H259" s="186">
        <f t="shared" ref="H259:L259" si="97">SUM(H254:H258)</f>
        <v>48.391828872195276</v>
      </c>
      <c r="I259" s="186">
        <f t="shared" si="97"/>
        <v>446.5559557324359</v>
      </c>
      <c r="J259" s="186">
        <f t="shared" si="97"/>
        <v>583.8945947422701</v>
      </c>
      <c r="K259" s="186">
        <f t="shared" si="97"/>
        <v>674.82263324068879</v>
      </c>
      <c r="L259" s="186">
        <f t="shared" si="97"/>
        <v>758.47423003702386</v>
      </c>
      <c r="M259" s="138"/>
      <c r="N259" s="138"/>
    </row>
    <row r="260" spans="1:14" x14ac:dyDescent="0.15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</row>
    <row r="261" spans="1:14" ht="18" customHeight="1" x14ac:dyDescent="0.15">
      <c r="A261" s="138"/>
      <c r="B261" s="171" t="s">
        <v>517</v>
      </c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38"/>
      <c r="N261" s="138"/>
    </row>
    <row r="262" spans="1:14" outlineLevel="1" x14ac:dyDescent="0.15">
      <c r="A262" s="138"/>
      <c r="B262" s="141" t="s">
        <v>8</v>
      </c>
      <c r="C262" s="138"/>
      <c r="D262" s="138"/>
      <c r="E262" s="138"/>
      <c r="F262" s="138"/>
      <c r="G262" s="146" t="s">
        <v>168</v>
      </c>
      <c r="H262" s="142">
        <f>H$4</f>
        <v>2026</v>
      </c>
      <c r="I262" s="142">
        <f>I$4</f>
        <v>2027</v>
      </c>
      <c r="J262" s="142">
        <f>J$4</f>
        <v>2028</v>
      </c>
      <c r="K262" s="142">
        <f>K$4</f>
        <v>2029</v>
      </c>
      <c r="L262" s="142">
        <f>L$4</f>
        <v>2030</v>
      </c>
      <c r="M262" s="138"/>
      <c r="N262" s="138"/>
    </row>
    <row r="263" spans="1:14" outlineLevel="1" x14ac:dyDescent="0.15">
      <c r="A263" s="138"/>
      <c r="B263" s="143" t="s">
        <v>169</v>
      </c>
      <c r="C263" s="138"/>
      <c r="D263" s="147">
        <f>TGR</f>
        <v>0.02</v>
      </c>
      <c r="E263" s="138"/>
      <c r="F263" s="148" t="s">
        <v>5</v>
      </c>
      <c r="G263" s="149">
        <f>ValDate</f>
        <v>46203</v>
      </c>
      <c r="H263" s="149">
        <f>DATE(H$4,12,31)</f>
        <v>46387</v>
      </c>
      <c r="I263" s="149">
        <f>DATE(I$4,12,31)</f>
        <v>46752</v>
      </c>
      <c r="J263" s="149">
        <f>DATE(J$4,12,31)</f>
        <v>47118</v>
      </c>
      <c r="K263" s="149">
        <f>DATE(K$4,12,31)</f>
        <v>47483</v>
      </c>
      <c r="L263" s="149">
        <f>DATE(L$4,12,31)</f>
        <v>47848</v>
      </c>
      <c r="M263" s="138"/>
      <c r="N263" s="141"/>
    </row>
    <row r="264" spans="1:14" outlineLevel="1" x14ac:dyDescent="0.15">
      <c r="A264" s="138"/>
      <c r="B264" s="143" t="s">
        <v>170</v>
      </c>
      <c r="C264" s="138"/>
      <c r="D264" s="150">
        <f>WACC</f>
        <v>6.573534159924678E-2</v>
      </c>
      <c r="E264" s="138"/>
      <c r="F264" s="148" t="s">
        <v>171</v>
      </c>
      <c r="G264" s="165">
        <f>G263</f>
        <v>46203</v>
      </c>
      <c r="H264" s="149">
        <f>G263+INT((H263-G263)/2)</f>
        <v>46295</v>
      </c>
      <c r="I264" s="149">
        <f>H263+INT((I263-H263)/2)</f>
        <v>46569</v>
      </c>
      <c r="J264" s="149">
        <f>I263+INT((J263-I263)/2)</f>
        <v>46935</v>
      </c>
      <c r="K264" s="149">
        <f>J263+INT((K263-J263)/2)</f>
        <v>47300</v>
      </c>
      <c r="L264" s="149">
        <f>K263+INT((L263-K263)/2)</f>
        <v>47665</v>
      </c>
      <c r="M264" s="138"/>
      <c r="N264" s="141"/>
    </row>
    <row r="265" spans="1:14" outlineLevel="1" x14ac:dyDescent="0.1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</row>
    <row r="266" spans="1:14" outlineLevel="1" x14ac:dyDescent="0.15">
      <c r="A266" s="138"/>
      <c r="B266" s="138" t="s">
        <v>162</v>
      </c>
      <c r="C266" s="138"/>
      <c r="D266" s="138"/>
      <c r="E266" s="138"/>
      <c r="F266" s="138"/>
      <c r="G266" s="138"/>
      <c r="H266" s="207">
        <f>H259</f>
        <v>48.391828872195276</v>
      </c>
      <c r="I266" s="207">
        <f>I259</f>
        <v>446.5559557324359</v>
      </c>
      <c r="J266" s="207">
        <f>J259</f>
        <v>583.8945947422701</v>
      </c>
      <c r="K266" s="207">
        <f>K259</f>
        <v>674.82263324068879</v>
      </c>
      <c r="L266" s="207">
        <f>L259</f>
        <v>758.47423003702386</v>
      </c>
      <c r="M266" s="138"/>
      <c r="N266" s="138"/>
    </row>
    <row r="267" spans="1:14" outlineLevel="1" x14ac:dyDescent="0.15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</row>
    <row r="268" spans="1:14" outlineLevel="1" x14ac:dyDescent="0.15">
      <c r="A268" s="138"/>
      <c r="B268" s="151" t="s">
        <v>172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</row>
    <row r="269" spans="1:14" outlineLevel="1" x14ac:dyDescent="0.15">
      <c r="A269" s="138"/>
      <c r="B269" s="143" t="s">
        <v>173</v>
      </c>
      <c r="C269" s="138"/>
      <c r="D269" s="138"/>
      <c r="E269" s="138"/>
      <c r="F269" s="138"/>
      <c r="G269" s="138"/>
      <c r="H269" s="185">
        <f>H266</f>
        <v>48.391828872195276</v>
      </c>
      <c r="I269" s="185">
        <f>I266</f>
        <v>446.5559557324359</v>
      </c>
      <c r="J269" s="185">
        <f>J266</f>
        <v>583.8945947422701</v>
      </c>
      <c r="K269" s="185">
        <f>K266</f>
        <v>674.82263324068879</v>
      </c>
      <c r="L269" s="185">
        <f>L266</f>
        <v>758.47423003702386</v>
      </c>
      <c r="M269" s="138"/>
      <c r="N269" s="138"/>
    </row>
    <row r="270" spans="1:14" outlineLevel="1" x14ac:dyDescent="0.15">
      <c r="A270" s="138"/>
      <c r="B270" s="143" t="s">
        <v>174</v>
      </c>
      <c r="C270" s="138"/>
      <c r="D270" s="138"/>
      <c r="E270" s="138"/>
      <c r="F270" s="138"/>
      <c r="G270" s="138"/>
      <c r="H270" s="208"/>
      <c r="I270" s="208"/>
      <c r="J270" s="208"/>
      <c r="K270" s="208"/>
      <c r="L270" s="208">
        <f>L266*(1+D263)/(D264-D263)</f>
        <v>16915.664944995307</v>
      </c>
      <c r="M270" s="138"/>
      <c r="N270" s="141"/>
    </row>
    <row r="271" spans="1:14" outlineLevel="1" x14ac:dyDescent="0.15">
      <c r="A271" s="138"/>
      <c r="B271" s="143" t="s">
        <v>175</v>
      </c>
      <c r="C271" s="138"/>
      <c r="D271" s="138"/>
      <c r="E271" s="138"/>
      <c r="F271" s="138"/>
      <c r="G271" s="138"/>
      <c r="H271" s="185">
        <f>SUM(H269:H270)</f>
        <v>48.391828872195276</v>
      </c>
      <c r="I271" s="185">
        <f>SUM(I269:I270)</f>
        <v>446.5559557324359</v>
      </c>
      <c r="J271" s="185">
        <f>SUM(J269:J270)</f>
        <v>583.8945947422701</v>
      </c>
      <c r="K271" s="185">
        <f>SUM(K269:K270)</f>
        <v>674.82263324068879</v>
      </c>
      <c r="L271" s="185">
        <f>SUM(L269:L270)</f>
        <v>17674.139175032331</v>
      </c>
      <c r="M271" s="138"/>
      <c r="N271" s="138"/>
    </row>
    <row r="272" spans="1:14" outlineLevel="1" x14ac:dyDescent="0.15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</row>
    <row r="273" spans="1:14" outlineLevel="1" x14ac:dyDescent="0.15">
      <c r="A273" s="138"/>
      <c r="B273" s="151" t="s">
        <v>176</v>
      </c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</row>
    <row r="274" spans="1:14" outlineLevel="1" x14ac:dyDescent="0.15">
      <c r="A274" s="138"/>
      <c r="B274" s="143" t="s">
        <v>702</v>
      </c>
      <c r="C274" s="138"/>
      <c r="D274" s="138"/>
      <c r="E274" s="138"/>
      <c r="F274" s="138"/>
      <c r="G274" s="138"/>
      <c r="H274" s="185">
        <f>-G259</f>
        <v>491.35512</v>
      </c>
      <c r="I274" s="135"/>
      <c r="J274" s="135"/>
      <c r="K274" s="135"/>
      <c r="L274" s="135"/>
      <c r="M274" s="138"/>
      <c r="N274" s="141"/>
    </row>
    <row r="275" spans="1:14" outlineLevel="1" x14ac:dyDescent="0.15">
      <c r="A275" s="138"/>
      <c r="B275" s="143" t="s">
        <v>173</v>
      </c>
      <c r="C275" s="138"/>
      <c r="D275" s="138"/>
      <c r="E275" s="138"/>
      <c r="F275" s="138"/>
      <c r="G275" s="138"/>
      <c r="H275" s="185">
        <f>H269+H274</f>
        <v>539.74694887219528</v>
      </c>
      <c r="I275" s="185">
        <f>I269</f>
        <v>446.5559557324359</v>
      </c>
      <c r="J275" s="185">
        <f>J269</f>
        <v>583.8945947422701</v>
      </c>
      <c r="K275" s="185">
        <f>K269</f>
        <v>674.82263324068879</v>
      </c>
      <c r="L275" s="185">
        <f>L269</f>
        <v>758.47423003702386</v>
      </c>
      <c r="M275" s="138"/>
      <c r="N275" s="138"/>
    </row>
    <row r="276" spans="1:14" outlineLevel="1" x14ac:dyDescent="0.15">
      <c r="A276" s="138"/>
      <c r="B276" s="143" t="s">
        <v>174</v>
      </c>
      <c r="C276" s="138"/>
      <c r="D276" s="138"/>
      <c r="E276" s="138"/>
      <c r="F276" s="138"/>
      <c r="G276" s="138"/>
      <c r="H276" s="208"/>
      <c r="I276" s="208"/>
      <c r="J276" s="208"/>
      <c r="K276" s="208"/>
      <c r="L276" s="208">
        <f>L270</f>
        <v>16915.664944995307</v>
      </c>
      <c r="M276" s="138"/>
      <c r="N276" s="138"/>
    </row>
    <row r="277" spans="1:14" outlineLevel="1" x14ac:dyDescent="0.15">
      <c r="A277" s="138"/>
      <c r="B277" s="143" t="s">
        <v>175</v>
      </c>
      <c r="C277" s="138"/>
      <c r="D277" s="138"/>
      <c r="E277" s="138"/>
      <c r="F277" s="138"/>
      <c r="G277" s="209">
        <v>0</v>
      </c>
      <c r="H277" s="185">
        <f>SUM(H275:H276)</f>
        <v>539.74694887219528</v>
      </c>
      <c r="I277" s="185">
        <f>SUM(I275:I276)</f>
        <v>446.5559557324359</v>
      </c>
      <c r="J277" s="185">
        <f>SUM(J275:J276)</f>
        <v>583.8945947422701</v>
      </c>
      <c r="K277" s="185">
        <f>SUM(K275:K276)</f>
        <v>674.82263324068879</v>
      </c>
      <c r="L277" s="185">
        <f>SUM(L275:L276)</f>
        <v>17674.139175032331</v>
      </c>
      <c r="M277" s="138"/>
      <c r="N277" s="141"/>
    </row>
    <row r="278" spans="1:14" outlineLevel="1" x14ac:dyDescent="0.15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</row>
    <row r="279" spans="1:14" outlineLevel="1" x14ac:dyDescent="0.15">
      <c r="A279" s="138"/>
      <c r="B279" s="151" t="s">
        <v>177</v>
      </c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</row>
    <row r="280" spans="1:14" outlineLevel="1" x14ac:dyDescent="0.15">
      <c r="A280" s="138"/>
      <c r="B280" s="143" t="s">
        <v>178</v>
      </c>
      <c r="C280" s="138"/>
      <c r="D280" s="138"/>
      <c r="E280" s="138"/>
      <c r="F280" s="138"/>
      <c r="G280" s="138"/>
      <c r="H280" s="152">
        <f>(H264-$G$263)/365</f>
        <v>0.25205479452054796</v>
      </c>
      <c r="I280" s="152">
        <f>(I264-$G$263)/365</f>
        <v>1.0027397260273974</v>
      </c>
      <c r="J280" s="152">
        <f>(J264-$G$263)/365</f>
        <v>2.0054794520547947</v>
      </c>
      <c r="K280" s="152">
        <f>(K264-$G$263)/365</f>
        <v>3.0054794520547947</v>
      </c>
      <c r="L280" s="152">
        <f>(L264-$G$263)/365</f>
        <v>4.0054794520547947</v>
      </c>
      <c r="M280" s="138"/>
      <c r="N280" s="141"/>
    </row>
    <row r="281" spans="1:14" outlineLevel="1" x14ac:dyDescent="0.15">
      <c r="A281" s="138"/>
      <c r="B281" s="143" t="s">
        <v>173</v>
      </c>
      <c r="C281" s="138"/>
      <c r="D281" s="138"/>
      <c r="E281" s="138"/>
      <c r="F281" s="138"/>
      <c r="G281" s="138"/>
      <c r="H281" s="185">
        <f>H275/(1+$D$264)^H280</f>
        <v>531.15471404903565</v>
      </c>
      <c r="I281" s="185">
        <f>I275/(1+$D$264)^I280</f>
        <v>418.93897546635361</v>
      </c>
      <c r="J281" s="185">
        <f>J275/(1+$D$264)^J280</f>
        <v>513.90662403419151</v>
      </c>
      <c r="K281" s="185">
        <f>K275/(1+$D$264)^K280</f>
        <v>557.30127023665204</v>
      </c>
      <c r="L281" s="185">
        <f>L275/(1+$D$264)^L280</f>
        <v>587.74893996986168</v>
      </c>
      <c r="M281" s="138"/>
      <c r="N281" s="138"/>
    </row>
    <row r="282" spans="1:14" outlineLevel="1" x14ac:dyDescent="0.15">
      <c r="A282" s="138"/>
      <c r="B282" s="143" t="s">
        <v>174</v>
      </c>
      <c r="C282" s="138"/>
      <c r="D282" s="138"/>
      <c r="E282" s="138"/>
      <c r="F282" s="138"/>
      <c r="G282" s="138"/>
      <c r="H282" s="208"/>
      <c r="I282" s="208"/>
      <c r="J282" s="208"/>
      <c r="K282" s="208"/>
      <c r="L282" s="208">
        <f>L276/(1+$D$264)^L280</f>
        <v>13108.110660293663</v>
      </c>
      <c r="M282" s="138"/>
      <c r="N282" s="138"/>
    </row>
    <row r="283" spans="1:14" outlineLevel="1" x14ac:dyDescent="0.15">
      <c r="A283" s="138"/>
      <c r="B283" s="143" t="s">
        <v>175</v>
      </c>
      <c r="C283" s="138"/>
      <c r="D283" s="138"/>
      <c r="E283" s="138"/>
      <c r="F283" s="138"/>
      <c r="G283" s="138"/>
      <c r="H283" s="185">
        <f>SUM(H281:H282)</f>
        <v>531.15471404903565</v>
      </c>
      <c r="I283" s="185">
        <f>SUM(I281:I282)</f>
        <v>418.93897546635361</v>
      </c>
      <c r="J283" s="185">
        <f>SUM(J281:J282)</f>
        <v>513.90662403419151</v>
      </c>
      <c r="K283" s="185">
        <f>SUM(K281:K282)</f>
        <v>557.30127023665204</v>
      </c>
      <c r="L283" s="185">
        <f>SUM(L281:L282)</f>
        <v>13695.859600263526</v>
      </c>
      <c r="M283" s="138"/>
      <c r="N283" s="138"/>
    </row>
    <row r="284" spans="1:14" outlineLevel="1" x14ac:dyDescent="0.15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</row>
    <row r="285" spans="1:14" outlineLevel="1" x14ac:dyDescent="0.15">
      <c r="A285" s="138"/>
      <c r="B285" s="151" t="s">
        <v>179</v>
      </c>
      <c r="C285" s="138"/>
      <c r="D285" s="138"/>
      <c r="E285" s="138"/>
      <c r="F285" s="138"/>
      <c r="G285" s="138"/>
      <c r="H285" s="151" t="s">
        <v>180</v>
      </c>
      <c r="I285" s="138"/>
      <c r="J285" s="138"/>
      <c r="K285" s="138"/>
      <c r="L285" s="138"/>
      <c r="M285" s="138"/>
      <c r="N285" s="138"/>
    </row>
    <row r="286" spans="1:14" outlineLevel="1" x14ac:dyDescent="0.15">
      <c r="A286" s="138"/>
      <c r="B286" s="143" t="s">
        <v>181</v>
      </c>
      <c r="C286" s="138"/>
      <c r="D286" s="210">
        <f>SUM(H283:L283)</f>
        <v>15717.161184049759</v>
      </c>
      <c r="E286" s="138"/>
      <c r="F286" s="138"/>
      <c r="G286" s="138"/>
      <c r="H286" s="153" t="s">
        <v>182</v>
      </c>
      <c r="I286" s="153"/>
      <c r="J286" s="153"/>
      <c r="K286" s="154">
        <f>L286/$L$288</f>
        <v>0.16600011243785148</v>
      </c>
      <c r="L286" s="210">
        <f>SUM(H281:L281)</f>
        <v>2609.0505237560947</v>
      </c>
      <c r="M286" s="138"/>
      <c r="N286" s="138"/>
    </row>
    <row r="287" spans="1:14" outlineLevel="1" x14ac:dyDescent="0.15">
      <c r="A287" s="138"/>
      <c r="B287" s="166" t="s">
        <v>183</v>
      </c>
      <c r="C287" s="138"/>
      <c r="D287" s="208">
        <f>XNPV(D264,G277:L277,G264:L264)</f>
        <v>15717.161184049757</v>
      </c>
      <c r="E287" s="138"/>
      <c r="F287" s="138"/>
      <c r="G287" s="138"/>
      <c r="H287" s="138" t="s">
        <v>184</v>
      </c>
      <c r="I287" s="138"/>
      <c r="J287" s="138"/>
      <c r="K287" s="169">
        <f>L287/$L$288</f>
        <v>0.8339998875621486</v>
      </c>
      <c r="L287" s="185">
        <f>L282</f>
        <v>13108.110660293663</v>
      </c>
      <c r="M287" s="138"/>
      <c r="N287" s="141"/>
    </row>
    <row r="288" spans="1:14" outlineLevel="1" x14ac:dyDescent="0.15">
      <c r="A288" s="138"/>
      <c r="B288" s="138"/>
      <c r="C288" s="138"/>
      <c r="D288" s="138"/>
      <c r="E288" s="138"/>
      <c r="F288" s="138"/>
      <c r="G288" s="138"/>
      <c r="H288" s="156" t="s">
        <v>179</v>
      </c>
      <c r="I288" s="153"/>
      <c r="J288" s="153"/>
      <c r="K288" s="154">
        <f>SUM(K286:K287)</f>
        <v>1</v>
      </c>
      <c r="L288" s="186">
        <f>SUM(L286:L287)</f>
        <v>15717.161184049757</v>
      </c>
      <c r="M288" s="138"/>
      <c r="N288" s="138"/>
    </row>
    <row r="289" spans="1:14" outlineLevel="1" x14ac:dyDescent="0.15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</row>
    <row r="290" spans="1:14" outlineLevel="1" x14ac:dyDescent="0.15">
      <c r="A290" s="138"/>
      <c r="B290" s="151" t="s">
        <v>185</v>
      </c>
      <c r="C290" s="138"/>
      <c r="D290" s="138"/>
      <c r="E290" s="138"/>
      <c r="F290" s="138"/>
      <c r="G290" s="138"/>
      <c r="H290" s="151" t="s">
        <v>186</v>
      </c>
      <c r="I290" s="138"/>
      <c r="J290" s="138"/>
      <c r="K290" s="138"/>
      <c r="L290" s="138"/>
      <c r="M290" s="138"/>
      <c r="N290" s="138"/>
    </row>
    <row r="291" spans="1:14" outlineLevel="1" x14ac:dyDescent="0.15">
      <c r="A291" s="138"/>
      <c r="B291" s="143" t="s">
        <v>179</v>
      </c>
      <c r="C291" s="138"/>
      <c r="D291" s="210">
        <f>D286</f>
        <v>15717.161184049759</v>
      </c>
      <c r="E291" s="138"/>
      <c r="F291" s="138"/>
      <c r="G291" s="138"/>
      <c r="H291" s="153" t="s">
        <v>185</v>
      </c>
      <c r="I291" s="153"/>
      <c r="J291" s="153"/>
      <c r="K291" s="157" t="s">
        <v>8</v>
      </c>
      <c r="L291" s="210">
        <f>D296</f>
        <v>8868.5881380497594</v>
      </c>
      <c r="M291" s="138"/>
      <c r="N291" s="138"/>
    </row>
    <row r="292" spans="1:14" outlineLevel="1" x14ac:dyDescent="0.15">
      <c r="A292" s="138"/>
      <c r="B292" s="143" t="s">
        <v>187</v>
      </c>
      <c r="C292" s="138"/>
      <c r="D292" s="211">
        <f>-Hist!E371</f>
        <v>-6441.73</v>
      </c>
      <c r="E292" s="138"/>
      <c r="F292" s="138"/>
      <c r="G292" s="138"/>
      <c r="H292" s="138" t="s">
        <v>188</v>
      </c>
      <c r="I292" s="138"/>
      <c r="J292" s="138"/>
      <c r="K292" s="158" t="s">
        <v>53</v>
      </c>
      <c r="L292" s="159">
        <f>SharesOut</f>
        <v>21.333731</v>
      </c>
      <c r="M292" s="138"/>
      <c r="N292" s="141"/>
    </row>
    <row r="293" spans="1:14" outlineLevel="1" x14ac:dyDescent="0.15">
      <c r="A293" s="138"/>
      <c r="B293" s="143" t="s">
        <v>189</v>
      </c>
      <c r="C293" s="138"/>
      <c r="D293" s="212">
        <f>-Hist!E351</f>
        <v>-350.20699999999999</v>
      </c>
      <c r="E293" s="138"/>
      <c r="F293" s="138"/>
      <c r="G293" s="138"/>
      <c r="H293" s="156" t="s">
        <v>186</v>
      </c>
      <c r="I293" s="153"/>
      <c r="J293" s="153"/>
      <c r="K293" s="157" t="s">
        <v>50</v>
      </c>
      <c r="L293" s="145">
        <f>L291/L292</f>
        <v>415.70731992682198</v>
      </c>
      <c r="M293" s="138"/>
      <c r="N293" s="138"/>
    </row>
    <row r="294" spans="1:14" outlineLevel="1" x14ac:dyDescent="0.15">
      <c r="A294" s="138"/>
      <c r="B294" s="143" t="s">
        <v>190</v>
      </c>
      <c r="C294" s="138"/>
      <c r="D294" s="185">
        <f>Hist!E332</f>
        <v>390.52800000000002</v>
      </c>
      <c r="E294" s="138"/>
      <c r="F294" s="138"/>
      <c r="G294" s="138"/>
      <c r="H294" s="138" t="s">
        <v>191</v>
      </c>
      <c r="I294" s="138"/>
      <c r="J294" s="170"/>
      <c r="K294" s="158" t="s">
        <v>50</v>
      </c>
      <c r="L294" s="131">
        <f>Inputs!D113</f>
        <v>493</v>
      </c>
      <c r="M294" s="138"/>
      <c r="N294" s="138"/>
    </row>
    <row r="295" spans="1:14" outlineLevel="1" x14ac:dyDescent="0.15">
      <c r="A295" s="138"/>
      <c r="B295" s="143" t="s">
        <v>192</v>
      </c>
      <c r="C295" s="138"/>
      <c r="D295" s="185">
        <f>H135</f>
        <v>-447.16404599999998</v>
      </c>
      <c r="E295" s="138"/>
      <c r="F295" s="138"/>
      <c r="G295" s="138"/>
      <c r="H295" s="160" t="s">
        <v>193</v>
      </c>
      <c r="I295" s="138"/>
      <c r="J295" s="138"/>
      <c r="K295" s="158" t="s">
        <v>194</v>
      </c>
      <c r="L295" s="184">
        <f>L293/L294-1</f>
        <v>-0.15678028412409339</v>
      </c>
      <c r="M295" s="138"/>
      <c r="N295" s="141"/>
    </row>
    <row r="296" spans="1:14" outlineLevel="1" x14ac:dyDescent="0.15">
      <c r="A296" s="138"/>
      <c r="B296" s="144" t="s">
        <v>185</v>
      </c>
      <c r="C296" s="138"/>
      <c r="D296" s="186">
        <f>SUM(D291:D295)</f>
        <v>8868.5881380497594</v>
      </c>
      <c r="E296" s="138"/>
      <c r="F296" s="138"/>
      <c r="G296" s="138"/>
      <c r="H296" s="161" t="s">
        <v>195</v>
      </c>
      <c r="I296" s="138"/>
      <c r="J296" s="138"/>
      <c r="K296" s="158" t="s">
        <v>133</v>
      </c>
      <c r="L296" s="162">
        <f>L270/L38</f>
        <v>7.7800865275952873</v>
      </c>
      <c r="M296" s="138"/>
      <c r="N296" s="141"/>
    </row>
    <row r="297" spans="1:14" x14ac:dyDescent="0.15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</row>
    <row r="298" spans="1:14" x14ac:dyDescent="0.15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</row>
    <row r="299" spans="1:14" ht="18" customHeight="1" x14ac:dyDescent="0.15">
      <c r="A299" s="138"/>
      <c r="B299" s="171" t="s">
        <v>516</v>
      </c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38"/>
      <c r="N299" s="138"/>
    </row>
    <row r="300" spans="1:14" outlineLevel="1" x14ac:dyDescent="0.15">
      <c r="A300" s="138"/>
      <c r="B300" s="141" t="s">
        <v>8</v>
      </c>
      <c r="C300" s="138"/>
      <c r="D300" s="138"/>
      <c r="E300" s="138"/>
      <c r="F300" s="138"/>
      <c r="G300" s="146" t="s">
        <v>168</v>
      </c>
      <c r="H300" s="142">
        <f>H$4</f>
        <v>2026</v>
      </c>
      <c r="I300" s="142">
        <f>I$4</f>
        <v>2027</v>
      </c>
      <c r="J300" s="142">
        <f>J$4</f>
        <v>2028</v>
      </c>
      <c r="K300" s="142">
        <f>K$4</f>
        <v>2029</v>
      </c>
      <c r="L300" s="142">
        <f>L$4</f>
        <v>2030</v>
      </c>
      <c r="M300" s="138"/>
      <c r="N300" s="138"/>
    </row>
    <row r="301" spans="1:14" outlineLevel="1" x14ac:dyDescent="0.15">
      <c r="A301" s="138"/>
      <c r="B301" s="143" t="s">
        <v>196</v>
      </c>
      <c r="C301" s="138"/>
      <c r="D301" s="163">
        <f>Outputs!D10</f>
        <v>9.289673157035331</v>
      </c>
      <c r="E301" s="138"/>
      <c r="F301" s="148" t="s">
        <v>5</v>
      </c>
      <c r="G301" s="149">
        <f t="shared" ref="G301:L301" si="98">G263</f>
        <v>46203</v>
      </c>
      <c r="H301" s="149">
        <f t="shared" si="98"/>
        <v>46387</v>
      </c>
      <c r="I301" s="149">
        <f t="shared" si="98"/>
        <v>46752</v>
      </c>
      <c r="J301" s="149">
        <f t="shared" si="98"/>
        <v>47118</v>
      </c>
      <c r="K301" s="149">
        <f t="shared" si="98"/>
        <v>47483</v>
      </c>
      <c r="L301" s="149">
        <f t="shared" si="98"/>
        <v>47848</v>
      </c>
      <c r="M301" s="138"/>
      <c r="N301" s="141"/>
    </row>
    <row r="302" spans="1:14" outlineLevel="1" x14ac:dyDescent="0.15">
      <c r="A302" s="138"/>
      <c r="B302" s="143" t="s">
        <v>170</v>
      </c>
      <c r="C302" s="138"/>
      <c r="D302" s="150">
        <f>WACC</f>
        <v>6.573534159924678E-2</v>
      </c>
      <c r="E302" s="138"/>
      <c r="F302" s="148" t="s">
        <v>171</v>
      </c>
      <c r="G302" s="149">
        <f>G301</f>
        <v>46203</v>
      </c>
      <c r="H302" s="149">
        <f>H264</f>
        <v>46295</v>
      </c>
      <c r="I302" s="149">
        <f>I264</f>
        <v>46569</v>
      </c>
      <c r="J302" s="149">
        <f>J264</f>
        <v>46935</v>
      </c>
      <c r="K302" s="149">
        <f>K264</f>
        <v>47300</v>
      </c>
      <c r="L302" s="149">
        <f>L264</f>
        <v>47665</v>
      </c>
      <c r="M302" s="138"/>
      <c r="N302" s="141"/>
    </row>
    <row r="303" spans="1:14" outlineLevel="1" x14ac:dyDescent="0.15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</row>
    <row r="304" spans="1:14" outlineLevel="1" x14ac:dyDescent="0.15">
      <c r="A304" s="138"/>
      <c r="B304" s="138" t="s">
        <v>162</v>
      </c>
      <c r="C304" s="138"/>
      <c r="D304" s="138"/>
      <c r="E304" s="138"/>
      <c r="F304" s="138"/>
      <c r="G304" s="138"/>
      <c r="H304" s="207">
        <f>H266</f>
        <v>48.391828872195276</v>
      </c>
      <c r="I304" s="207">
        <f>I266</f>
        <v>446.5559557324359</v>
      </c>
      <c r="J304" s="207">
        <f>J266</f>
        <v>583.8945947422701</v>
      </c>
      <c r="K304" s="207">
        <f>K266</f>
        <v>674.82263324068879</v>
      </c>
      <c r="L304" s="207">
        <f>L266</f>
        <v>758.47423003702386</v>
      </c>
      <c r="M304" s="138"/>
      <c r="N304" s="138"/>
    </row>
    <row r="305" spans="1:14" outlineLevel="1" x14ac:dyDescent="0.15">
      <c r="A305" s="138"/>
      <c r="B305" s="138" t="s">
        <v>28</v>
      </c>
      <c r="C305" s="138"/>
      <c r="D305" s="138"/>
      <c r="E305" s="138"/>
      <c r="F305" s="138"/>
      <c r="G305" s="138"/>
      <c r="H305" s="138"/>
      <c r="I305" s="138"/>
      <c r="J305" s="138"/>
      <c r="K305" s="138"/>
      <c r="L305" s="208">
        <f>L38</f>
        <v>2174.2258116277912</v>
      </c>
      <c r="M305" s="138"/>
      <c r="N305" s="141"/>
    </row>
    <row r="306" spans="1:14" outlineLevel="1" x14ac:dyDescent="0.15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</row>
    <row r="307" spans="1:14" outlineLevel="1" x14ac:dyDescent="0.15">
      <c r="A307" s="138"/>
      <c r="B307" s="151" t="s">
        <v>172</v>
      </c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</row>
    <row r="308" spans="1:14" outlineLevel="1" x14ac:dyDescent="0.15">
      <c r="A308" s="138"/>
      <c r="B308" s="143" t="s">
        <v>173</v>
      </c>
      <c r="C308" s="138"/>
      <c r="D308" s="138"/>
      <c r="E308" s="138"/>
      <c r="F308" s="164" t="s">
        <v>197</v>
      </c>
      <c r="G308" s="138"/>
      <c r="H308" s="185">
        <f>H304</f>
        <v>48.391828872195276</v>
      </c>
      <c r="I308" s="185">
        <f>I304</f>
        <v>446.5559557324359</v>
      </c>
      <c r="J308" s="185">
        <f>J304</f>
        <v>583.8945947422701</v>
      </c>
      <c r="K308" s="185">
        <f>K304</f>
        <v>674.82263324068879</v>
      </c>
      <c r="L308" s="185">
        <f>L304</f>
        <v>758.47423003702386</v>
      </c>
      <c r="M308" s="138"/>
      <c r="N308" s="138"/>
    </row>
    <row r="309" spans="1:14" outlineLevel="1" x14ac:dyDescent="0.15">
      <c r="A309" s="138"/>
      <c r="B309" s="143" t="s">
        <v>174</v>
      </c>
      <c r="C309" s="138"/>
      <c r="D309" s="138"/>
      <c r="E309" s="138"/>
      <c r="F309" s="148" t="s">
        <v>198</v>
      </c>
      <c r="G309" s="138"/>
      <c r="H309" s="208"/>
      <c r="I309" s="208"/>
      <c r="J309" s="208"/>
      <c r="K309" s="208"/>
      <c r="L309" s="208">
        <f>L305*D301/(1+D302)^F310</f>
        <v>19563.318327479206</v>
      </c>
      <c r="M309" s="138"/>
      <c r="N309" s="141"/>
    </row>
    <row r="310" spans="1:14" outlineLevel="1" x14ac:dyDescent="0.15">
      <c r="A310" s="138"/>
      <c r="B310" s="143" t="s">
        <v>175</v>
      </c>
      <c r="C310" s="138"/>
      <c r="D310" s="138"/>
      <c r="E310" s="138"/>
      <c r="F310" s="167">
        <f>(L301-L302)/365</f>
        <v>0.50136986301369868</v>
      </c>
      <c r="G310" s="138"/>
      <c r="H310" s="185">
        <f>SUM(H308:H309)</f>
        <v>48.391828872195276</v>
      </c>
      <c r="I310" s="185">
        <f>SUM(I308:I309)</f>
        <v>446.5559557324359</v>
      </c>
      <c r="J310" s="185">
        <f>SUM(J308:J309)</f>
        <v>583.8945947422701</v>
      </c>
      <c r="K310" s="185">
        <f>SUM(K308:K309)</f>
        <v>674.82263324068879</v>
      </c>
      <c r="L310" s="185">
        <f>SUM(L308:L309)</f>
        <v>20321.79255751623</v>
      </c>
      <c r="M310" s="138"/>
      <c r="N310" s="138"/>
    </row>
    <row r="311" spans="1:14" outlineLevel="1" x14ac:dyDescent="0.15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</row>
    <row r="312" spans="1:14" outlineLevel="1" x14ac:dyDescent="0.15">
      <c r="A312" s="138"/>
      <c r="B312" s="151" t="s">
        <v>176</v>
      </c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</row>
    <row r="313" spans="1:14" outlineLevel="1" x14ac:dyDescent="0.15">
      <c r="A313" s="138"/>
      <c r="B313" s="143" t="s">
        <v>702</v>
      </c>
      <c r="C313" s="138"/>
      <c r="D313" s="138"/>
      <c r="E313" s="138"/>
      <c r="F313" s="138"/>
      <c r="G313" s="138"/>
      <c r="H313" s="185">
        <f>H274</f>
        <v>491.35512</v>
      </c>
      <c r="I313" s="135"/>
      <c r="J313" s="135"/>
      <c r="K313" s="135"/>
      <c r="L313" s="135"/>
      <c r="M313" s="138"/>
      <c r="N313" s="141"/>
    </row>
    <row r="314" spans="1:14" outlineLevel="1" x14ac:dyDescent="0.15">
      <c r="A314" s="138"/>
      <c r="B314" s="143" t="s">
        <v>173</v>
      </c>
      <c r="C314" s="138"/>
      <c r="D314" s="138"/>
      <c r="E314" s="138"/>
      <c r="F314" s="138"/>
      <c r="G314" s="138"/>
      <c r="H314" s="185">
        <f>H308+H313</f>
        <v>539.74694887219528</v>
      </c>
      <c r="I314" s="185">
        <f>I308</f>
        <v>446.5559557324359</v>
      </c>
      <c r="J314" s="185">
        <f>J308</f>
        <v>583.8945947422701</v>
      </c>
      <c r="K314" s="185">
        <f>K308</f>
        <v>674.82263324068879</v>
      </c>
      <c r="L314" s="185">
        <f>L308</f>
        <v>758.47423003702386</v>
      </c>
      <c r="M314" s="138"/>
      <c r="N314" s="138"/>
    </row>
    <row r="315" spans="1:14" outlineLevel="1" x14ac:dyDescent="0.15">
      <c r="A315" s="138"/>
      <c r="B315" s="143" t="s">
        <v>174</v>
      </c>
      <c r="C315" s="138"/>
      <c r="D315" s="138"/>
      <c r="E315" s="138"/>
      <c r="F315" s="138"/>
      <c r="G315" s="138"/>
      <c r="H315" s="208"/>
      <c r="I315" s="208"/>
      <c r="J315" s="208"/>
      <c r="K315" s="208"/>
      <c r="L315" s="208">
        <f>L309</f>
        <v>19563.318327479206</v>
      </c>
      <c r="M315" s="138"/>
      <c r="N315" s="138"/>
    </row>
    <row r="316" spans="1:14" outlineLevel="1" x14ac:dyDescent="0.15">
      <c r="A316" s="138"/>
      <c r="B316" s="143" t="s">
        <v>175</v>
      </c>
      <c r="C316" s="138"/>
      <c r="D316" s="138"/>
      <c r="E316" s="138"/>
      <c r="F316" s="138"/>
      <c r="G316" s="209">
        <v>0</v>
      </c>
      <c r="H316" s="185">
        <f>SUM(H314:H315)</f>
        <v>539.74694887219528</v>
      </c>
      <c r="I316" s="185">
        <f>SUM(I314:I315)</f>
        <v>446.5559557324359</v>
      </c>
      <c r="J316" s="185">
        <f>SUM(J314:J315)</f>
        <v>583.8945947422701</v>
      </c>
      <c r="K316" s="185">
        <f>SUM(K314:K315)</f>
        <v>674.82263324068879</v>
      </c>
      <c r="L316" s="185">
        <f>SUM(L314:L315)</f>
        <v>20321.79255751623</v>
      </c>
      <c r="M316" s="138"/>
      <c r="N316" s="141"/>
    </row>
    <row r="317" spans="1:14" outlineLevel="1" x14ac:dyDescent="0.15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</row>
    <row r="318" spans="1:14" outlineLevel="1" x14ac:dyDescent="0.15">
      <c r="A318" s="138"/>
      <c r="B318" s="151" t="s">
        <v>177</v>
      </c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</row>
    <row r="319" spans="1:14" outlineLevel="1" x14ac:dyDescent="0.15">
      <c r="A319" s="138"/>
      <c r="B319" s="143" t="s">
        <v>178</v>
      </c>
      <c r="C319" s="138"/>
      <c r="D319" s="138"/>
      <c r="E319" s="138"/>
      <c r="F319" s="138"/>
      <c r="G319" s="138"/>
      <c r="H319" s="152">
        <f>H280</f>
        <v>0.25205479452054796</v>
      </c>
      <c r="I319" s="152">
        <f>I280</f>
        <v>1.0027397260273974</v>
      </c>
      <c r="J319" s="152">
        <f>J280</f>
        <v>2.0054794520547947</v>
      </c>
      <c r="K319" s="152">
        <f>K280</f>
        <v>3.0054794520547947</v>
      </c>
      <c r="L319" s="152">
        <f>L280</f>
        <v>4.0054794520547947</v>
      </c>
      <c r="M319" s="138"/>
      <c r="N319" s="141"/>
    </row>
    <row r="320" spans="1:14" outlineLevel="1" x14ac:dyDescent="0.15">
      <c r="A320" s="138"/>
      <c r="B320" s="143" t="s">
        <v>173</v>
      </c>
      <c r="C320" s="138"/>
      <c r="D320" s="138"/>
      <c r="E320" s="138"/>
      <c r="F320" s="138"/>
      <c r="G320" s="138"/>
      <c r="H320" s="185">
        <f>H314/(1+$D$302)^H319</f>
        <v>531.15471404903565</v>
      </c>
      <c r="I320" s="185">
        <f>I314/(1+$D$302)^I319</f>
        <v>418.93897546635361</v>
      </c>
      <c r="J320" s="185">
        <f>J314/(1+$D$302)^J319</f>
        <v>513.90662403419151</v>
      </c>
      <c r="K320" s="185">
        <f>K314/(1+$D$302)^K319</f>
        <v>557.30127023665204</v>
      </c>
      <c r="L320" s="185">
        <f>L314/(1+$D$302)^L319</f>
        <v>587.74893996986168</v>
      </c>
      <c r="M320" s="138"/>
      <c r="N320" s="138"/>
    </row>
    <row r="321" spans="1:14" outlineLevel="1" x14ac:dyDescent="0.15">
      <c r="A321" s="138"/>
      <c r="B321" s="143" t="s">
        <v>174</v>
      </c>
      <c r="C321" s="138"/>
      <c r="D321" s="138"/>
      <c r="E321" s="138"/>
      <c r="F321" s="138"/>
      <c r="G321" s="138"/>
      <c r="H321" s="208"/>
      <c r="I321" s="208"/>
      <c r="J321" s="208"/>
      <c r="K321" s="208"/>
      <c r="L321" s="208">
        <f>L315/(1+$D$302)^L319</f>
        <v>15159.802606223808</v>
      </c>
      <c r="M321" s="138"/>
      <c r="N321" s="138"/>
    </row>
    <row r="322" spans="1:14" outlineLevel="1" x14ac:dyDescent="0.15">
      <c r="A322" s="138"/>
      <c r="B322" s="143" t="s">
        <v>175</v>
      </c>
      <c r="C322" s="138"/>
      <c r="D322" s="138"/>
      <c r="E322" s="138"/>
      <c r="F322" s="138"/>
      <c r="G322" s="138"/>
      <c r="H322" s="185">
        <f>SUM(H320:H321)</f>
        <v>531.15471404903565</v>
      </c>
      <c r="I322" s="185">
        <f>SUM(I320:I321)</f>
        <v>418.93897546635361</v>
      </c>
      <c r="J322" s="185">
        <f>SUM(J320:J321)</f>
        <v>513.90662403419151</v>
      </c>
      <c r="K322" s="185">
        <f>SUM(K320:K321)</f>
        <v>557.30127023665204</v>
      </c>
      <c r="L322" s="185">
        <f>SUM(L320:L321)</f>
        <v>15747.55154619367</v>
      </c>
      <c r="M322" s="138"/>
      <c r="N322" s="138"/>
    </row>
    <row r="323" spans="1:14" outlineLevel="1" x14ac:dyDescent="0.15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</row>
    <row r="324" spans="1:14" outlineLevel="1" x14ac:dyDescent="0.15">
      <c r="A324" s="138"/>
      <c r="B324" s="151" t="s">
        <v>179</v>
      </c>
      <c r="C324" s="138"/>
      <c r="D324" s="138"/>
      <c r="E324" s="138"/>
      <c r="F324" s="138"/>
      <c r="G324" s="138"/>
      <c r="H324" s="151" t="s">
        <v>180</v>
      </c>
      <c r="I324" s="138"/>
      <c r="J324" s="138"/>
      <c r="K324" s="138"/>
      <c r="L324" s="138"/>
      <c r="M324" s="138"/>
      <c r="N324" s="138"/>
    </row>
    <row r="325" spans="1:14" outlineLevel="1" x14ac:dyDescent="0.15">
      <c r="A325" s="138"/>
      <c r="B325" s="143" t="s">
        <v>181</v>
      </c>
      <c r="C325" s="138"/>
      <c r="D325" s="210">
        <f>SUM(H322:L322)</f>
        <v>17768.853129979903</v>
      </c>
      <c r="E325" s="138"/>
      <c r="F325" s="138"/>
      <c r="G325" s="138"/>
      <c r="H325" s="153" t="s">
        <v>182</v>
      </c>
      <c r="I325" s="153"/>
      <c r="J325" s="153"/>
      <c r="K325" s="154">
        <f>L325/L327</f>
        <v>0.14683280370830806</v>
      </c>
      <c r="L325" s="210">
        <f>SUM(H320:L320)</f>
        <v>2609.0505237560947</v>
      </c>
      <c r="M325" s="138"/>
      <c r="N325" s="138"/>
    </row>
    <row r="326" spans="1:14" outlineLevel="1" x14ac:dyDescent="0.15">
      <c r="A326" s="138"/>
      <c r="B326" s="166" t="s">
        <v>183</v>
      </c>
      <c r="C326" s="138"/>
      <c r="D326" s="208">
        <f>XNPV(D302,G316:L316,G302:L302)</f>
        <v>17768.853129979903</v>
      </c>
      <c r="E326" s="138"/>
      <c r="F326" s="138"/>
      <c r="G326" s="138"/>
      <c r="H326" s="138" t="s">
        <v>184</v>
      </c>
      <c r="I326" s="138"/>
      <c r="J326" s="138"/>
      <c r="K326" s="155">
        <f>L326/L327</f>
        <v>0.85316719629169191</v>
      </c>
      <c r="L326" s="185">
        <f>L321</f>
        <v>15159.802606223808</v>
      </c>
      <c r="M326" s="138"/>
      <c r="N326" s="141"/>
    </row>
    <row r="327" spans="1:14" outlineLevel="1" x14ac:dyDescent="0.15">
      <c r="A327" s="138"/>
      <c r="B327" s="138"/>
      <c r="C327" s="138"/>
      <c r="D327" s="138"/>
      <c r="E327" s="138"/>
      <c r="F327" s="138"/>
      <c r="G327" s="138"/>
      <c r="H327" s="156" t="s">
        <v>179</v>
      </c>
      <c r="I327" s="153"/>
      <c r="J327" s="153"/>
      <c r="K327" s="154">
        <f>SUM(K325:K326)</f>
        <v>1</v>
      </c>
      <c r="L327" s="186">
        <f>SUM(L325:L326)</f>
        <v>17768.853129979903</v>
      </c>
      <c r="M327" s="138"/>
      <c r="N327" s="138"/>
    </row>
    <row r="328" spans="1:14" outlineLevel="1" x14ac:dyDescent="0.15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</row>
    <row r="329" spans="1:14" outlineLevel="1" x14ac:dyDescent="0.15">
      <c r="A329" s="138"/>
      <c r="B329" s="151" t="s">
        <v>185</v>
      </c>
      <c r="C329" s="138"/>
      <c r="D329" s="138"/>
      <c r="E329" s="138"/>
      <c r="F329" s="138"/>
      <c r="G329" s="138"/>
      <c r="H329" s="151" t="s">
        <v>186</v>
      </c>
      <c r="I329" s="138"/>
      <c r="J329" s="138"/>
      <c r="K329" s="138"/>
      <c r="L329" s="138"/>
      <c r="M329" s="138"/>
      <c r="N329" s="138"/>
    </row>
    <row r="330" spans="1:14" outlineLevel="1" x14ac:dyDescent="0.15">
      <c r="A330" s="138"/>
      <c r="B330" s="143" t="s">
        <v>179</v>
      </c>
      <c r="C330" s="138"/>
      <c r="D330" s="210">
        <f>L327</f>
        <v>17768.853129979903</v>
      </c>
      <c r="E330" s="138"/>
      <c r="F330" s="138"/>
      <c r="G330" s="138"/>
      <c r="H330" s="153" t="s">
        <v>185</v>
      </c>
      <c r="I330" s="153"/>
      <c r="J330" s="153"/>
      <c r="K330" s="157" t="s">
        <v>8</v>
      </c>
      <c r="L330" s="210">
        <f>D335</f>
        <v>10920.280083979904</v>
      </c>
      <c r="M330" s="138"/>
      <c r="N330" s="138"/>
    </row>
    <row r="331" spans="1:14" outlineLevel="1" x14ac:dyDescent="0.15">
      <c r="A331" s="138"/>
      <c r="B331" s="143" t="s">
        <v>187</v>
      </c>
      <c r="C331" s="138"/>
      <c r="D331" s="185">
        <f>D292</f>
        <v>-6441.73</v>
      </c>
      <c r="E331" s="138"/>
      <c r="F331" s="138"/>
      <c r="G331" s="138"/>
      <c r="H331" s="138" t="s">
        <v>188</v>
      </c>
      <c r="I331" s="138"/>
      <c r="J331" s="138"/>
      <c r="K331" s="158" t="s">
        <v>53</v>
      </c>
      <c r="L331" s="159">
        <f>L292</f>
        <v>21.333731</v>
      </c>
      <c r="M331" s="138"/>
      <c r="N331" s="141"/>
    </row>
    <row r="332" spans="1:14" outlineLevel="1" x14ac:dyDescent="0.15">
      <c r="A332" s="138"/>
      <c r="B332" s="143" t="s">
        <v>189</v>
      </c>
      <c r="C332" s="138"/>
      <c r="D332" s="185">
        <f>D293</f>
        <v>-350.20699999999999</v>
      </c>
      <c r="E332" s="138"/>
      <c r="F332" s="138"/>
      <c r="G332" s="138"/>
      <c r="H332" s="156" t="s">
        <v>186</v>
      </c>
      <c r="I332" s="153"/>
      <c r="J332" s="153"/>
      <c r="K332" s="157" t="s">
        <v>50</v>
      </c>
      <c r="L332" s="145">
        <f>L330/L331</f>
        <v>511.87858719976845</v>
      </c>
      <c r="M332" s="138"/>
      <c r="N332" s="138"/>
    </row>
    <row r="333" spans="1:14" outlineLevel="1" x14ac:dyDescent="0.15">
      <c r="A333" s="138"/>
      <c r="B333" s="143" t="s">
        <v>190</v>
      </c>
      <c r="C333" s="138"/>
      <c r="D333" s="185">
        <f>D294</f>
        <v>390.52800000000002</v>
      </c>
      <c r="E333" s="138"/>
      <c r="F333" s="138"/>
      <c r="G333" s="138"/>
      <c r="H333" s="138" t="s">
        <v>191</v>
      </c>
      <c r="I333" s="138"/>
      <c r="J333" s="138"/>
      <c r="K333" s="158" t="s">
        <v>50</v>
      </c>
      <c r="L333" s="131">
        <f>L294</f>
        <v>493</v>
      </c>
      <c r="M333" s="138"/>
      <c r="N333" s="138"/>
    </row>
    <row r="334" spans="1:14" outlineLevel="1" x14ac:dyDescent="0.15">
      <c r="A334" s="138"/>
      <c r="B334" s="143" t="s">
        <v>192</v>
      </c>
      <c r="C334" s="138"/>
      <c r="D334" s="185">
        <f>D295</f>
        <v>-447.16404599999998</v>
      </c>
      <c r="E334" s="138"/>
      <c r="F334" s="138"/>
      <c r="G334" s="138"/>
      <c r="H334" s="160" t="s">
        <v>193</v>
      </c>
      <c r="I334" s="138"/>
      <c r="J334" s="138"/>
      <c r="K334" s="158" t="s">
        <v>194</v>
      </c>
      <c r="L334" s="184">
        <f>L332/L333-1</f>
        <v>3.8293280324073864E-2</v>
      </c>
      <c r="M334" s="138"/>
      <c r="N334" s="141"/>
    </row>
    <row r="335" spans="1:14" outlineLevel="1" x14ac:dyDescent="0.15">
      <c r="A335" s="138"/>
      <c r="B335" s="144" t="s">
        <v>185</v>
      </c>
      <c r="C335" s="138"/>
      <c r="D335" s="186">
        <f>SUM(D330:D334)</f>
        <v>10920.280083979904</v>
      </c>
      <c r="E335" s="138"/>
      <c r="F335" s="138"/>
      <c r="G335" s="138"/>
      <c r="H335" s="161" t="s">
        <v>199</v>
      </c>
      <c r="I335" s="138"/>
      <c r="J335" s="138"/>
      <c r="K335" s="158" t="s">
        <v>194</v>
      </c>
      <c r="L335" s="155">
        <f>(L309*D302-L304)/(L309+L304)</f>
        <v>2.595869343423228E-2</v>
      </c>
      <c r="M335" s="138"/>
      <c r="N335" s="141"/>
    </row>
    <row r="336" spans="1:14" x14ac:dyDescent="0.15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</row>
    <row r="337" spans="1:14" x14ac:dyDescent="0.15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</row>
    <row r="338" spans="1:14" x14ac:dyDescent="0.15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</row>
    <row r="339" spans="1:14" x14ac:dyDescent="0.15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</row>
    <row r="340" spans="1:14" x14ac:dyDescent="0.15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</row>
    <row r="341" spans="1:14" x14ac:dyDescent="0.15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</row>
    <row r="342" spans="1:14" x14ac:dyDescent="0.15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</row>
  </sheetData>
  <mergeCells count="1">
    <mergeCell ref="D193:G214"/>
  </mergeCells>
  <conditionalFormatting sqref="D39:L40">
    <cfRule type="expression" dxfId="5" priority="2">
      <formula>D39&lt;&gt;0</formula>
    </cfRule>
  </conditionalFormatting>
  <conditionalFormatting sqref="D71:L72">
    <cfRule type="expression" dxfId="4" priority="4">
      <formula>D71&lt;&gt;0</formula>
    </cfRule>
  </conditionalFormatting>
  <conditionalFormatting sqref="D106:L107">
    <cfRule type="expression" dxfId="3" priority="6">
      <formula>D106&lt;&gt;0</formula>
    </cfRule>
  </conditionalFormatting>
  <conditionalFormatting sqref="D144:L147">
    <cfRule type="expression" dxfId="2" priority="8">
      <formula>D144&lt;&gt;0</formula>
    </cfRule>
  </conditionalFormatting>
  <conditionalFormatting sqref="L2">
    <cfRule type="expression" dxfId="1" priority="13">
      <formula>L2="OK"</formula>
    </cfRule>
    <cfRule type="expression" dxfId="0" priority="14">
      <formula>L2="ERROR"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B05A-C7CD-9D47-8860-0BBCE50361C5}">
  <sheetPr>
    <outlinePr summaryBelow="0"/>
  </sheetPr>
  <dimension ref="A1:N106"/>
  <sheetViews>
    <sheetView showGridLines="0" zoomScale="120" zoomScaleNormal="120" workbookViewId="0">
      <pane ySplit="2" topLeftCell="A44" activePane="bottomLeft" state="frozen"/>
      <selection pane="bottomLeft" activeCell="E38" sqref="E38"/>
    </sheetView>
  </sheetViews>
  <sheetFormatPr baseColWidth="10" defaultColWidth="8.83203125" defaultRowHeight="13" x14ac:dyDescent="0.15"/>
  <cols>
    <col min="1" max="1" width="2" customWidth="1"/>
    <col min="2" max="2" width="44" customWidth="1"/>
    <col min="3" max="3" width="8" customWidth="1"/>
    <col min="4" max="12" width="11" customWidth="1"/>
    <col min="13" max="13" width="2" customWidth="1"/>
    <col min="14" max="14" width="70" customWidth="1"/>
  </cols>
  <sheetData>
    <row r="1" spans="1:14" ht="26" customHeight="1" x14ac:dyDescent="0.15">
      <c r="A1" s="1"/>
      <c r="B1" s="2" t="s">
        <v>288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15">
      <c r="B2" s="17" t="s">
        <v>729</v>
      </c>
    </row>
    <row r="4" spans="1:14" ht="18" customHeight="1" x14ac:dyDescent="0.15">
      <c r="B4" s="5" t="s">
        <v>731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14" x14ac:dyDescent="0.15">
      <c r="B5" s="17" t="s">
        <v>730</v>
      </c>
    </row>
    <row r="7" spans="1:14" x14ac:dyDescent="0.15">
      <c r="D7" s="148" t="s">
        <v>518</v>
      </c>
      <c r="E7" s="148" t="s">
        <v>519</v>
      </c>
      <c r="F7" s="148" t="s">
        <v>520</v>
      </c>
      <c r="I7" s="148" t="s">
        <v>521</v>
      </c>
      <c r="J7" s="148" t="s">
        <v>522</v>
      </c>
      <c r="K7" s="148" t="s">
        <v>523</v>
      </c>
      <c r="L7" s="148" t="s">
        <v>521</v>
      </c>
    </row>
    <row r="8" spans="1:14" x14ac:dyDescent="0.15">
      <c r="B8" s="11" t="s">
        <v>524</v>
      </c>
      <c r="C8" s="12" t="s">
        <v>458</v>
      </c>
      <c r="D8" s="146" t="s">
        <v>525</v>
      </c>
      <c r="E8" s="146" t="s">
        <v>526</v>
      </c>
      <c r="F8" s="146" t="s">
        <v>527</v>
      </c>
      <c r="G8" s="146" t="s">
        <v>528</v>
      </c>
      <c r="H8" s="146" t="s">
        <v>529</v>
      </c>
      <c r="I8" s="146" t="s">
        <v>530</v>
      </c>
      <c r="J8" s="146" t="s">
        <v>26</v>
      </c>
      <c r="K8" s="146" t="s">
        <v>531</v>
      </c>
      <c r="L8" s="146" t="s">
        <v>532</v>
      </c>
      <c r="N8" s="141"/>
    </row>
    <row r="9" spans="1:14" x14ac:dyDescent="0.15">
      <c r="D9" s="158" t="s">
        <v>533</v>
      </c>
      <c r="E9" s="158" t="s">
        <v>53</v>
      </c>
      <c r="F9" s="158" t="s">
        <v>53</v>
      </c>
      <c r="G9" s="158" t="s">
        <v>53</v>
      </c>
      <c r="H9" s="158" t="s">
        <v>53</v>
      </c>
      <c r="I9" s="158" t="s">
        <v>53</v>
      </c>
      <c r="J9" s="158" t="s">
        <v>53</v>
      </c>
      <c r="K9" s="158" t="s">
        <v>53</v>
      </c>
    </row>
    <row r="10" spans="1:14" x14ac:dyDescent="0.15">
      <c r="B10" s="143" t="s">
        <v>534</v>
      </c>
      <c r="C10" s="124" t="s">
        <v>462</v>
      </c>
      <c r="D10" s="172">
        <v>57</v>
      </c>
      <c r="E10" s="173">
        <v>364.03068000000002</v>
      </c>
      <c r="F10" s="213">
        <v>1413.6</v>
      </c>
      <c r="G10" s="213">
        <v>96.8</v>
      </c>
      <c r="H10" s="213">
        <v>0</v>
      </c>
      <c r="I10" s="213">
        <v>12213.6</v>
      </c>
      <c r="J10" s="213">
        <v>1942.1</v>
      </c>
      <c r="K10" s="213">
        <v>1063.0999999999999</v>
      </c>
      <c r="L10" s="113" t="s">
        <v>535</v>
      </c>
      <c r="N10" s="141"/>
    </row>
    <row r="11" spans="1:14" x14ac:dyDescent="0.15">
      <c r="B11" s="143" t="s">
        <v>536</v>
      </c>
      <c r="C11" s="124" t="s">
        <v>537</v>
      </c>
      <c r="D11" s="172">
        <v>6.33</v>
      </c>
      <c r="E11" s="173">
        <v>110.846816</v>
      </c>
      <c r="F11" s="213">
        <v>55.4</v>
      </c>
      <c r="G11" s="213">
        <v>6.6</v>
      </c>
      <c r="H11" s="213">
        <v>0</v>
      </c>
      <c r="I11" s="213">
        <v>456.6</v>
      </c>
      <c r="J11" s="213">
        <v>79.400000000000006</v>
      </c>
      <c r="K11" s="213">
        <v>49.3</v>
      </c>
      <c r="L11" s="113" t="s">
        <v>538</v>
      </c>
      <c r="N11" s="141"/>
    </row>
    <row r="12" spans="1:14" x14ac:dyDescent="0.15">
      <c r="B12" s="143" t="s">
        <v>539</v>
      </c>
      <c r="C12" s="124" t="s">
        <v>540</v>
      </c>
      <c r="D12" s="172">
        <v>431.4</v>
      </c>
      <c r="E12" s="173">
        <v>47.827612000000002</v>
      </c>
      <c r="F12" s="213">
        <v>6610</v>
      </c>
      <c r="G12" s="213">
        <v>0</v>
      </c>
      <c r="H12" s="213">
        <v>0</v>
      </c>
      <c r="I12" s="213">
        <v>15816</v>
      </c>
      <c r="J12" s="213">
        <v>3040</v>
      </c>
      <c r="K12" s="213">
        <v>1610</v>
      </c>
      <c r="L12" s="113" t="s">
        <v>541</v>
      </c>
      <c r="N12" s="141"/>
    </row>
    <row r="13" spans="1:14" x14ac:dyDescent="0.15">
      <c r="B13" s="143" t="s">
        <v>542</v>
      </c>
      <c r="C13" s="124" t="s">
        <v>462</v>
      </c>
      <c r="D13" s="172">
        <v>32</v>
      </c>
      <c r="E13" s="173">
        <v>20.635045000000002</v>
      </c>
      <c r="F13" s="213">
        <v>62.694000000000003</v>
      </c>
      <c r="G13" s="213">
        <v>2.851</v>
      </c>
      <c r="H13" s="213">
        <v>0.98299999999999998</v>
      </c>
      <c r="I13" s="213">
        <v>709.702</v>
      </c>
      <c r="J13" s="213">
        <v>115.64100000000001</v>
      </c>
      <c r="K13" s="213">
        <v>65.867999999999995</v>
      </c>
      <c r="L13" s="113" t="s">
        <v>541</v>
      </c>
      <c r="N13" s="141"/>
    </row>
    <row r="14" spans="1:14" x14ac:dyDescent="0.15">
      <c r="B14" s="151" t="s">
        <v>543</v>
      </c>
    </row>
    <row r="15" spans="1:14" x14ac:dyDescent="0.15">
      <c r="B15" s="143" t="s">
        <v>544</v>
      </c>
      <c r="C15" s="124" t="s">
        <v>537</v>
      </c>
      <c r="D15" s="172">
        <v>8.125</v>
      </c>
      <c r="E15" s="173">
        <v>113.11195600000001</v>
      </c>
      <c r="F15" s="213">
        <v>-64.2</v>
      </c>
      <c r="G15" s="213">
        <v>0</v>
      </c>
      <c r="H15" s="213">
        <v>0</v>
      </c>
      <c r="I15" s="213">
        <v>345.8</v>
      </c>
      <c r="J15" s="213">
        <v>44.1</v>
      </c>
      <c r="K15" s="213">
        <v>25.2</v>
      </c>
      <c r="L15" s="113" t="s">
        <v>541</v>
      </c>
      <c r="N15" s="141"/>
    </row>
    <row r="17" spans="2:14" x14ac:dyDescent="0.15">
      <c r="B17" s="151" t="s">
        <v>545</v>
      </c>
    </row>
    <row r="18" spans="2:14" x14ac:dyDescent="0.15">
      <c r="B18" s="144" t="s">
        <v>546</v>
      </c>
      <c r="C18" s="124" t="s">
        <v>50</v>
      </c>
      <c r="D18" s="131">
        <f>Inputs!D113</f>
        <v>493</v>
      </c>
      <c r="E18" s="159">
        <f>SharesOut</f>
        <v>21.333731</v>
      </c>
      <c r="F18" s="185">
        <f>Hist!E371</f>
        <v>6441.73</v>
      </c>
      <c r="G18" s="185">
        <f>Hist!E351</f>
        <v>350.20699999999999</v>
      </c>
      <c r="H18" s="185">
        <f>Hist!E332</f>
        <v>390.52800000000002</v>
      </c>
      <c r="I18" s="185">
        <f>Hist!F301</f>
        <v>11271.289000000001</v>
      </c>
      <c r="J18" s="185">
        <f>Hist!F323-Inputs!D127</f>
        <v>1774.2719999999999</v>
      </c>
      <c r="K18" s="185">
        <f>Hist!F315+Hist!F322*(1-TaxRate)-Inputs!D127*(1-TaxRate)</f>
        <v>461.15319999999997</v>
      </c>
      <c r="L18" s="113" t="s">
        <v>541</v>
      </c>
      <c r="N18" s="141"/>
    </row>
    <row r="20" spans="2:14" ht="18" customHeight="1" x14ac:dyDescent="0.15">
      <c r="B20" s="5" t="s">
        <v>732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2" spans="2:14" x14ac:dyDescent="0.15">
      <c r="D22" s="148" t="s">
        <v>547</v>
      </c>
      <c r="E22" s="148" t="s">
        <v>548</v>
      </c>
      <c r="F22" s="148" t="s">
        <v>549</v>
      </c>
      <c r="G22" s="148" t="s">
        <v>549</v>
      </c>
      <c r="I22" s="148" t="s">
        <v>26</v>
      </c>
      <c r="J22" s="148" t="s">
        <v>550</v>
      </c>
    </row>
    <row r="23" spans="2:14" x14ac:dyDescent="0.15">
      <c r="B23" s="11" t="s">
        <v>524</v>
      </c>
      <c r="C23" s="12" t="s">
        <v>458</v>
      </c>
      <c r="D23" s="146" t="s">
        <v>551</v>
      </c>
      <c r="E23" s="146" t="s">
        <v>552</v>
      </c>
      <c r="F23" s="146" t="s">
        <v>530</v>
      </c>
      <c r="G23" s="146" t="s">
        <v>26</v>
      </c>
      <c r="H23" s="146" t="s">
        <v>553</v>
      </c>
      <c r="I23" s="146" t="s">
        <v>554</v>
      </c>
      <c r="J23" s="146" t="s">
        <v>26</v>
      </c>
      <c r="N23" s="141"/>
    </row>
    <row r="24" spans="2:14" x14ac:dyDescent="0.15">
      <c r="D24" s="158" t="s">
        <v>53</v>
      </c>
      <c r="E24" s="158" t="s">
        <v>53</v>
      </c>
      <c r="F24" s="158" t="s">
        <v>133</v>
      </c>
      <c r="G24" s="158" t="s">
        <v>133</v>
      </c>
      <c r="H24" s="158" t="s">
        <v>133</v>
      </c>
      <c r="I24" s="158" t="s">
        <v>194</v>
      </c>
      <c r="J24" s="158" t="s">
        <v>133</v>
      </c>
    </row>
    <row r="25" spans="2:14" x14ac:dyDescent="0.15">
      <c r="B25" s="143" t="s">
        <v>534</v>
      </c>
      <c r="C25" s="124" t="s">
        <v>462</v>
      </c>
      <c r="D25" s="185">
        <f>D10*E10</f>
        <v>20749.748760000002</v>
      </c>
      <c r="E25" s="185">
        <f>D25+F10+G10-H10</f>
        <v>22260.14876</v>
      </c>
      <c r="F25" s="168">
        <f>E25/I10</f>
        <v>1.8225706392873517</v>
      </c>
      <c r="G25" s="168">
        <f>E25/J10</f>
        <v>11.461896277225684</v>
      </c>
      <c r="H25" s="168">
        <f>D25/K10</f>
        <v>19.518153287555268</v>
      </c>
      <c r="I25" s="135">
        <f>J10/I10</f>
        <v>0.15901126612956049</v>
      </c>
      <c r="J25" s="168">
        <f>F10/J10</f>
        <v>0.72787189125173779</v>
      </c>
    </row>
    <row r="26" spans="2:14" x14ac:dyDescent="0.15">
      <c r="B26" s="143" t="s">
        <v>536</v>
      </c>
      <c r="C26" s="124" t="s">
        <v>537</v>
      </c>
      <c r="D26" s="185">
        <f t="shared" ref="D26:D28" si="0">D11*E11</f>
        <v>701.66034528</v>
      </c>
      <c r="E26" s="185">
        <f t="shared" ref="E26:E28" si="1">D26+F11+G11-H11</f>
        <v>763.66034528</v>
      </c>
      <c r="F26" s="168">
        <f t="shared" ref="F26:F28" si="2">E26/I11</f>
        <v>1.6724930908453788</v>
      </c>
      <c r="G26" s="168">
        <f t="shared" ref="G26:G28" si="3">E26/J11</f>
        <v>9.6178884795969761</v>
      </c>
      <c r="H26" s="168">
        <f t="shared" ref="H26:H28" si="4">D26/K11</f>
        <v>14.232461364705884</v>
      </c>
      <c r="I26" s="135">
        <f t="shared" ref="I26:I28" si="5">J11/I11</f>
        <v>0.1738939991239597</v>
      </c>
      <c r="J26" s="168">
        <f t="shared" ref="J26:J28" si="6">F11/J11</f>
        <v>0.69773299748110829</v>
      </c>
    </row>
    <row r="27" spans="2:14" x14ac:dyDescent="0.15">
      <c r="B27" s="143" t="s">
        <v>539</v>
      </c>
      <c r="C27" s="124" t="s">
        <v>540</v>
      </c>
      <c r="D27" s="185">
        <f t="shared" si="0"/>
        <v>20632.831816800001</v>
      </c>
      <c r="E27" s="185">
        <f t="shared" si="1"/>
        <v>27242.831816800001</v>
      </c>
      <c r="F27" s="168">
        <f t="shared" si="2"/>
        <v>1.7224855726353061</v>
      </c>
      <c r="G27" s="168">
        <f t="shared" si="3"/>
        <v>8.9614578344736842</v>
      </c>
      <c r="H27" s="168">
        <f t="shared" si="4"/>
        <v>12.815423488695652</v>
      </c>
      <c r="I27" s="135">
        <f t="shared" si="5"/>
        <v>0.19221041982802226</v>
      </c>
      <c r="J27" s="168">
        <f t="shared" si="6"/>
        <v>2.174342105263158</v>
      </c>
    </row>
    <row r="28" spans="2:14" x14ac:dyDescent="0.15">
      <c r="B28" s="143" t="s">
        <v>542</v>
      </c>
      <c r="C28" s="124" t="s">
        <v>462</v>
      </c>
      <c r="D28" s="185">
        <f t="shared" si="0"/>
        <v>660.32144000000005</v>
      </c>
      <c r="E28" s="185">
        <f t="shared" si="1"/>
        <v>724.88344000000006</v>
      </c>
      <c r="F28" s="168">
        <f t="shared" si="2"/>
        <v>1.0213912881744733</v>
      </c>
      <c r="G28" s="168">
        <f t="shared" si="3"/>
        <v>6.2683947734799945</v>
      </c>
      <c r="H28" s="168">
        <f t="shared" si="4"/>
        <v>10.024920143316939</v>
      </c>
      <c r="I28" s="135">
        <f t="shared" si="5"/>
        <v>0.16294303806386343</v>
      </c>
      <c r="J28" s="168">
        <f t="shared" si="6"/>
        <v>0.54214335745972453</v>
      </c>
    </row>
    <row r="29" spans="2:14" x14ac:dyDescent="0.15">
      <c r="B29" s="153" t="s">
        <v>555</v>
      </c>
      <c r="C29" s="153"/>
      <c r="D29" s="153"/>
      <c r="E29" s="153"/>
      <c r="F29" s="163">
        <f>AVERAGE(F25:F28)</f>
        <v>1.5597351477356274</v>
      </c>
      <c r="G29" s="163">
        <f t="shared" ref="G29:J29" si="7">AVERAGE(G25:G28)</f>
        <v>9.0774093411940857</v>
      </c>
      <c r="H29" s="163">
        <f t="shared" si="7"/>
        <v>14.147739571068435</v>
      </c>
      <c r="I29" s="163">
        <f t="shared" si="7"/>
        <v>0.17201468078635146</v>
      </c>
      <c r="J29" s="163">
        <f t="shared" si="7"/>
        <v>1.035522587863932</v>
      </c>
      <c r="N29" s="141"/>
    </row>
    <row r="30" spans="2:14" x14ac:dyDescent="0.15">
      <c r="B30" s="143" t="s">
        <v>556</v>
      </c>
      <c r="F30" s="168">
        <f>MEDIAN(F25:F28)</f>
        <v>1.6974893317403423</v>
      </c>
      <c r="G30" s="168">
        <f t="shared" ref="G30:J30" si="8">MEDIAN(G25:G28)</f>
        <v>9.289673157035331</v>
      </c>
      <c r="H30" s="168">
        <f t="shared" si="8"/>
        <v>13.523942426700767</v>
      </c>
      <c r="I30" s="168">
        <f t="shared" si="8"/>
        <v>0.16841851859391155</v>
      </c>
      <c r="J30" s="168">
        <f t="shared" si="8"/>
        <v>0.71280244436642304</v>
      </c>
      <c r="N30" s="141"/>
    </row>
    <row r="31" spans="2:14" x14ac:dyDescent="0.15">
      <c r="B31" s="143" t="s">
        <v>557</v>
      </c>
      <c r="F31" s="168">
        <f>MAX(F25:F28)</f>
        <v>1.8225706392873517</v>
      </c>
      <c r="G31" s="168">
        <f t="shared" ref="G31:J31" si="9">MAX(G25:G28)</f>
        <v>11.461896277225684</v>
      </c>
      <c r="H31" s="168">
        <f t="shared" si="9"/>
        <v>19.518153287555268</v>
      </c>
      <c r="I31" s="168">
        <f t="shared" si="9"/>
        <v>0.19221041982802226</v>
      </c>
      <c r="J31" s="168">
        <f t="shared" si="9"/>
        <v>2.174342105263158</v>
      </c>
    </row>
    <row r="32" spans="2:14" x14ac:dyDescent="0.15">
      <c r="B32" s="143" t="s">
        <v>558</v>
      </c>
      <c r="F32" s="168">
        <f>MIN(F25:F28)</f>
        <v>1.0213912881744733</v>
      </c>
      <c r="G32" s="168">
        <f t="shared" ref="G32:J32" si="10">MIN(G25:G28)</f>
        <v>6.2683947734799945</v>
      </c>
      <c r="H32" s="168">
        <f t="shared" si="10"/>
        <v>10.024920143316939</v>
      </c>
      <c r="I32" s="168">
        <f t="shared" si="10"/>
        <v>0.15901126612956049</v>
      </c>
      <c r="J32" s="168">
        <f t="shared" si="10"/>
        <v>0.54214335745972453</v>
      </c>
    </row>
    <row r="34" spans="2:14" x14ac:dyDescent="0.15">
      <c r="B34" s="151" t="s">
        <v>543</v>
      </c>
    </row>
    <row r="35" spans="2:14" x14ac:dyDescent="0.15">
      <c r="B35" s="143" t="s">
        <v>544</v>
      </c>
      <c r="C35" s="124" t="s">
        <v>537</v>
      </c>
      <c r="D35" s="185">
        <f>D15*E15</f>
        <v>919.03464250000002</v>
      </c>
      <c r="E35" s="185">
        <f>D35+F15+G15-H15</f>
        <v>854.83464249999997</v>
      </c>
      <c r="F35" s="168">
        <f>E35/I15</f>
        <v>2.4720492842683632</v>
      </c>
      <c r="G35" s="168">
        <f>E35/J15</f>
        <v>19.384005498866212</v>
      </c>
      <c r="H35" s="168">
        <f>D35/K15</f>
        <v>36.469628670634926</v>
      </c>
      <c r="I35" s="135">
        <f>J15/I15</f>
        <v>0.12753036437246965</v>
      </c>
      <c r="J35" s="168">
        <f>F15/J15</f>
        <v>-1.4557823129251701</v>
      </c>
    </row>
    <row r="37" spans="2:14" x14ac:dyDescent="0.15">
      <c r="B37" s="151" t="s">
        <v>559</v>
      </c>
    </row>
    <row r="38" spans="2:14" x14ac:dyDescent="0.15">
      <c r="B38" s="144" t="s">
        <v>546</v>
      </c>
      <c r="C38" s="124" t="s">
        <v>50</v>
      </c>
      <c r="D38" s="185">
        <f>D18*E18</f>
        <v>10517.529383000001</v>
      </c>
      <c r="E38" s="185">
        <f>D38+F18+G18-H18-Model!D295</f>
        <v>17366.102429000002</v>
      </c>
      <c r="F38" s="168">
        <f>E38/I18</f>
        <v>1.5407379252719011</v>
      </c>
      <c r="G38" s="168">
        <f>E38/J18</f>
        <v>9.787734027815354</v>
      </c>
      <c r="H38" s="168">
        <f>D38/K18</f>
        <v>22.80701810808209</v>
      </c>
      <c r="I38" s="135">
        <f>J18/I18</f>
        <v>0.15741518117404316</v>
      </c>
      <c r="J38" s="168">
        <f>F18/J18</f>
        <v>3.6306327327489809</v>
      </c>
      <c r="N38" s="141"/>
    </row>
    <row r="40" spans="2:14" ht="18" customHeight="1" x14ac:dyDescent="0.15">
      <c r="B40" s="5" t="s">
        <v>733</v>
      </c>
      <c r="C40" s="6"/>
      <c r="D40" s="6"/>
      <c r="E40" s="6"/>
      <c r="F40" s="6"/>
      <c r="G40" s="6"/>
      <c r="H40" s="6"/>
      <c r="I40" s="6"/>
      <c r="J40" s="6"/>
      <c r="K40" s="6"/>
      <c r="L40" s="6"/>
    </row>
    <row r="42" spans="2:14" x14ac:dyDescent="0.15">
      <c r="B42" s="11" t="s">
        <v>1</v>
      </c>
      <c r="C42" s="12"/>
      <c r="D42" s="146" t="s">
        <v>558</v>
      </c>
      <c r="E42" s="146" t="s">
        <v>555</v>
      </c>
      <c r="F42" s="146" t="s">
        <v>556</v>
      </c>
      <c r="G42" s="146" t="s">
        <v>557</v>
      </c>
    </row>
    <row r="43" spans="2:14" x14ac:dyDescent="0.15">
      <c r="B43" s="151" t="s">
        <v>560</v>
      </c>
    </row>
    <row r="44" spans="2:14" x14ac:dyDescent="0.15">
      <c r="B44" s="143" t="s">
        <v>561</v>
      </c>
      <c r="C44" s="124" t="s">
        <v>133</v>
      </c>
      <c r="D44" s="168">
        <f>G32</f>
        <v>6.2683947734799945</v>
      </c>
      <c r="E44" s="168">
        <f>G29</f>
        <v>9.0774093411940857</v>
      </c>
      <c r="F44" s="168">
        <f>G30</f>
        <v>9.289673157035331</v>
      </c>
      <c r="G44" s="168">
        <f>G31</f>
        <v>11.461896277225684</v>
      </c>
      <c r="N44" s="141"/>
    </row>
    <row r="45" spans="2:14" x14ac:dyDescent="0.15">
      <c r="B45" s="143" t="s">
        <v>747</v>
      </c>
      <c r="C45" s="124" t="s">
        <v>8</v>
      </c>
      <c r="D45" s="185">
        <f>$J$18</f>
        <v>1774.2719999999999</v>
      </c>
      <c r="E45" s="185">
        <f t="shared" ref="E45:G45" si="11">$J$18</f>
        <v>1774.2719999999999</v>
      </c>
      <c r="F45" s="185">
        <f t="shared" si="11"/>
        <v>1774.2719999999999</v>
      </c>
      <c r="G45" s="185">
        <f t="shared" si="11"/>
        <v>1774.2719999999999</v>
      </c>
      <c r="N45" s="141"/>
    </row>
    <row r="46" spans="2:14" x14ac:dyDescent="0.15">
      <c r="B46" s="144" t="s">
        <v>563</v>
      </c>
      <c r="C46" s="124" t="s">
        <v>8</v>
      </c>
      <c r="D46" s="186">
        <f>D44*D45</f>
        <v>11121.837331531897</v>
      </c>
      <c r="E46" s="186">
        <f t="shared" ref="E46:G46" si="12">E44*E45</f>
        <v>16105.793226619113</v>
      </c>
      <c r="F46" s="186">
        <f t="shared" si="12"/>
        <v>16482.406971679389</v>
      </c>
      <c r="G46" s="186">
        <f t="shared" si="12"/>
        <v>20336.521631585769</v>
      </c>
    </row>
    <row r="47" spans="2:14" x14ac:dyDescent="0.15">
      <c r="B47" s="143" t="s">
        <v>187</v>
      </c>
      <c r="C47" s="124" t="s">
        <v>8</v>
      </c>
      <c r="D47" s="185">
        <f>Model!$D$292</f>
        <v>-6441.73</v>
      </c>
      <c r="E47" s="185">
        <f>Model!$D$292</f>
        <v>-6441.73</v>
      </c>
      <c r="F47" s="185">
        <f>Model!$D$292</f>
        <v>-6441.73</v>
      </c>
      <c r="G47" s="185">
        <f>Model!$D$292</f>
        <v>-6441.73</v>
      </c>
      <c r="N47" s="141"/>
    </row>
    <row r="48" spans="2:14" x14ac:dyDescent="0.15">
      <c r="B48" s="143" t="s">
        <v>189</v>
      </c>
      <c r="C48" s="124" t="s">
        <v>8</v>
      </c>
      <c r="D48" s="185">
        <f>Model!$D$293</f>
        <v>-350.20699999999999</v>
      </c>
      <c r="E48" s="185">
        <f>Model!$D$293</f>
        <v>-350.20699999999999</v>
      </c>
      <c r="F48" s="185">
        <f>Model!$D$293</f>
        <v>-350.20699999999999</v>
      </c>
      <c r="G48" s="185">
        <f>Model!$D$293</f>
        <v>-350.20699999999999</v>
      </c>
    </row>
    <row r="49" spans="2:14" x14ac:dyDescent="0.15">
      <c r="B49" s="143" t="s">
        <v>190</v>
      </c>
      <c r="C49" s="124" t="s">
        <v>8</v>
      </c>
      <c r="D49" s="185">
        <f>Model!$D$294</f>
        <v>390.52800000000002</v>
      </c>
      <c r="E49" s="185">
        <f>Model!$D$294</f>
        <v>390.52800000000002</v>
      </c>
      <c r="F49" s="185">
        <f>Model!$D$294</f>
        <v>390.52800000000002</v>
      </c>
      <c r="G49" s="185">
        <f>Model!$D$294</f>
        <v>390.52800000000002</v>
      </c>
    </row>
    <row r="50" spans="2:14" x14ac:dyDescent="0.15">
      <c r="B50" s="143" t="s">
        <v>564</v>
      </c>
      <c r="C50" s="124" t="s">
        <v>8</v>
      </c>
      <c r="D50" s="185">
        <f>Model!$D$295</f>
        <v>-447.16404599999998</v>
      </c>
      <c r="E50" s="185">
        <f>Model!$D$295</f>
        <v>-447.16404599999998</v>
      </c>
      <c r="F50" s="185">
        <f>Model!$D$295</f>
        <v>-447.16404599999998</v>
      </c>
      <c r="G50" s="185">
        <f>Model!$D$295</f>
        <v>-447.16404599999998</v>
      </c>
    </row>
    <row r="51" spans="2:14" x14ac:dyDescent="0.15">
      <c r="B51" s="144" t="s">
        <v>565</v>
      </c>
      <c r="C51" s="124" t="s">
        <v>8</v>
      </c>
      <c r="D51" s="186">
        <f>SUM(D46:D50)</f>
        <v>4273.2642855318973</v>
      </c>
      <c r="E51" s="186">
        <f t="shared" ref="E51:G51" si="13">SUM(E46:E50)</f>
        <v>9257.2201806191133</v>
      </c>
      <c r="F51" s="186">
        <f t="shared" si="13"/>
        <v>9633.8339256793897</v>
      </c>
      <c r="G51" s="186">
        <f t="shared" si="13"/>
        <v>13487.948585585769</v>
      </c>
    </row>
    <row r="52" spans="2:14" x14ac:dyDescent="0.15">
      <c r="B52" s="143" t="s">
        <v>188</v>
      </c>
      <c r="C52" s="124" t="s">
        <v>53</v>
      </c>
      <c r="D52" s="159">
        <f>SharesOut</f>
        <v>21.333731</v>
      </c>
      <c r="E52" s="159">
        <f>SharesOut</f>
        <v>21.333731</v>
      </c>
      <c r="F52" s="159">
        <f>SharesOut</f>
        <v>21.333731</v>
      </c>
      <c r="G52" s="159">
        <f>SharesOut</f>
        <v>21.333731</v>
      </c>
      <c r="N52" s="141"/>
    </row>
    <row r="53" spans="2:14" x14ac:dyDescent="0.15">
      <c r="B53" s="144" t="s">
        <v>566</v>
      </c>
      <c r="C53" s="124" t="s">
        <v>50</v>
      </c>
      <c r="D53" s="145">
        <f>D51/D52</f>
        <v>200.30552956404566</v>
      </c>
      <c r="E53" s="145">
        <f t="shared" ref="E53:G53" si="14">E51/E52</f>
        <v>433.92410734995735</v>
      </c>
      <c r="F53" s="145">
        <f t="shared" si="14"/>
        <v>451.57754757849858</v>
      </c>
      <c r="G53" s="145">
        <f t="shared" si="14"/>
        <v>632.23580467878628</v>
      </c>
    </row>
    <row r="54" spans="2:14" x14ac:dyDescent="0.15">
      <c r="B54" s="144" t="s">
        <v>567</v>
      </c>
      <c r="C54" s="124" t="s">
        <v>194</v>
      </c>
      <c r="D54" s="184">
        <f>D53/Inputs!$D$113-1</f>
        <v>-0.59370075139138812</v>
      </c>
      <c r="E54" s="184">
        <f>E53/Inputs!$D$113-1</f>
        <v>-0.1198293968560703</v>
      </c>
      <c r="F54" s="184">
        <f>F53/Inputs!$D$113-1</f>
        <v>-8.4021201666331424E-2</v>
      </c>
      <c r="G54" s="184">
        <f>G53/Inputs!$D$113-1</f>
        <v>0.28242556729976931</v>
      </c>
      <c r="N54" s="141"/>
    </row>
    <row r="56" spans="2:14" x14ac:dyDescent="0.15">
      <c r="B56" s="151" t="s">
        <v>553</v>
      </c>
    </row>
    <row r="57" spans="2:14" x14ac:dyDescent="0.15">
      <c r="B57" s="143" t="s">
        <v>568</v>
      </c>
      <c r="C57" s="124" t="s">
        <v>133</v>
      </c>
      <c r="D57" s="168">
        <f>H32</f>
        <v>10.024920143316939</v>
      </c>
      <c r="E57" s="168">
        <f>H29</f>
        <v>14.147739571068435</v>
      </c>
      <c r="F57" s="168">
        <f>H30</f>
        <v>13.523942426700767</v>
      </c>
      <c r="G57" s="168">
        <f>H31</f>
        <v>19.518153287555268</v>
      </c>
      <c r="N57" s="141" t="s">
        <v>749</v>
      </c>
    </row>
    <row r="58" spans="2:14" x14ac:dyDescent="0.15">
      <c r="B58" s="143" t="s">
        <v>748</v>
      </c>
      <c r="C58" s="124" t="s">
        <v>8</v>
      </c>
      <c r="D58" s="185">
        <f>$K$18</f>
        <v>461.15319999999997</v>
      </c>
      <c r="E58" s="185">
        <f>$K$18</f>
        <v>461.15319999999997</v>
      </c>
      <c r="F58" s="185">
        <f>$K$18</f>
        <v>461.15319999999997</v>
      </c>
      <c r="G58" s="185">
        <f>$K$18</f>
        <v>461.15319999999997</v>
      </c>
      <c r="N58" s="141"/>
    </row>
    <row r="59" spans="2:14" x14ac:dyDescent="0.15">
      <c r="B59" s="144" t="s">
        <v>565</v>
      </c>
      <c r="C59" s="124" t="s">
        <v>8</v>
      </c>
      <c r="D59" s="186">
        <f>D57*D58</f>
        <v>4623.0240038350648</v>
      </c>
      <c r="E59" s="186">
        <f>E57*E58</f>
        <v>6524.2753759648358</v>
      </c>
      <c r="F59" s="186">
        <f>F57*F58</f>
        <v>6236.6093266888238</v>
      </c>
      <c r="G59" s="186">
        <f>G57*G58</f>
        <v>9000.8588466466317</v>
      </c>
    </row>
    <row r="60" spans="2:14" x14ac:dyDescent="0.15">
      <c r="B60" s="144" t="s">
        <v>566</v>
      </c>
      <c r="C60" s="124" t="s">
        <v>50</v>
      </c>
      <c r="D60" s="145">
        <f>D59/SharesOut</f>
        <v>216.7002107524026</v>
      </c>
      <c r="E60" s="145">
        <f>E59/SharesOut</f>
        <v>305.81970757786513</v>
      </c>
      <c r="F60" s="145">
        <f>F59/SharesOut</f>
        <v>292.33561287000498</v>
      </c>
      <c r="G60" s="145">
        <f>G59/SharesOut</f>
        <v>421.90739381904797</v>
      </c>
    </row>
    <row r="61" spans="2:14" x14ac:dyDescent="0.15">
      <c r="B61" s="144" t="s">
        <v>567</v>
      </c>
      <c r="C61" s="124" t="s">
        <v>194</v>
      </c>
      <c r="D61" s="184">
        <f>D60/Inputs!$D$113-1</f>
        <v>-0.56044581997484255</v>
      </c>
      <c r="E61" s="184">
        <f>E60/Inputs!$D$113-1</f>
        <v>-0.37967604953779888</v>
      </c>
      <c r="F61" s="184">
        <f>F60/Inputs!$D$113-1</f>
        <v>-0.40702715442189663</v>
      </c>
      <c r="G61" s="184">
        <f>G60/Inputs!$D$113-1</f>
        <v>-0.14420406933255991</v>
      </c>
    </row>
    <row r="63" spans="2:14" ht="18" customHeight="1" x14ac:dyDescent="0.15">
      <c r="B63" s="5" t="s">
        <v>734</v>
      </c>
      <c r="C63" s="6"/>
      <c r="D63" s="6"/>
      <c r="E63" s="6"/>
      <c r="F63" s="6"/>
      <c r="G63" s="6"/>
      <c r="H63" s="6"/>
      <c r="I63" s="6"/>
      <c r="J63" s="6"/>
      <c r="K63" s="6"/>
      <c r="L63" s="6"/>
    </row>
    <row r="65" spans="2:14" x14ac:dyDescent="0.15">
      <c r="B65" s="11" t="s">
        <v>566</v>
      </c>
      <c r="C65" s="12"/>
      <c r="D65" s="146" t="s">
        <v>569</v>
      </c>
      <c r="E65" s="146" t="s">
        <v>570</v>
      </c>
      <c r="F65" s="146" t="s">
        <v>571</v>
      </c>
      <c r="G65" s="146" t="s">
        <v>556</v>
      </c>
    </row>
    <row r="66" spans="2:14" x14ac:dyDescent="0.15">
      <c r="D66" s="158" t="s">
        <v>50</v>
      </c>
      <c r="E66" s="158" t="s">
        <v>50</v>
      </c>
      <c r="F66" s="158" t="s">
        <v>50</v>
      </c>
      <c r="G66" s="158" t="s">
        <v>50</v>
      </c>
    </row>
    <row r="67" spans="2:14" x14ac:dyDescent="0.15">
      <c r="B67" s="143" t="s">
        <v>572</v>
      </c>
      <c r="D67" s="131">
        <f>D53</f>
        <v>200.30552956404566</v>
      </c>
      <c r="E67" s="131">
        <f>F67-D67</f>
        <v>431.93027511474065</v>
      </c>
      <c r="F67" s="131">
        <f>G53</f>
        <v>632.23580467878628</v>
      </c>
      <c r="G67" s="131">
        <f>F53</f>
        <v>451.57754757849858</v>
      </c>
      <c r="N67" s="141"/>
    </row>
    <row r="68" spans="2:14" x14ac:dyDescent="0.15">
      <c r="B68" s="143" t="s">
        <v>573</v>
      </c>
      <c r="D68" s="131">
        <f>D60</f>
        <v>216.7002107524026</v>
      </c>
      <c r="E68" s="131">
        <f>F68-D68</f>
        <v>205.20718306664537</v>
      </c>
      <c r="F68" s="131">
        <f>G60</f>
        <v>421.90739381904797</v>
      </c>
      <c r="G68" s="131">
        <f>F60</f>
        <v>292.33561287000498</v>
      </c>
    </row>
    <row r="69" spans="2:14" x14ac:dyDescent="0.15">
      <c r="B69" s="143" t="s">
        <v>600</v>
      </c>
      <c r="D69" s="131">
        <f>D105</f>
        <v>577.18757933152915</v>
      </c>
      <c r="E69" s="131">
        <f>F69-D69</f>
        <v>408.70860998749515</v>
      </c>
      <c r="F69" s="131">
        <f>G105</f>
        <v>985.8961893190243</v>
      </c>
      <c r="G69" s="131">
        <f>F105</f>
        <v>740.6678864118752</v>
      </c>
      <c r="N69" s="141"/>
    </row>
    <row r="71" spans="2:14" ht="18" customHeight="1" x14ac:dyDescent="0.15">
      <c r="B71" s="5" t="s">
        <v>735</v>
      </c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2:14" x14ac:dyDescent="0.15">
      <c r="B72" s="17" t="s">
        <v>736</v>
      </c>
    </row>
    <row r="74" spans="2:14" x14ac:dyDescent="0.15">
      <c r="E74" s="148" t="s">
        <v>601</v>
      </c>
      <c r="F74" s="148" t="s">
        <v>602</v>
      </c>
      <c r="H74" s="148" t="s">
        <v>26</v>
      </c>
      <c r="I74" s="148" t="s">
        <v>549</v>
      </c>
      <c r="J74" s="148" t="s">
        <v>603</v>
      </c>
    </row>
    <row r="75" spans="2:14" x14ac:dyDescent="0.15">
      <c r="B75" s="11" t="s">
        <v>604</v>
      </c>
      <c r="C75" s="12" t="s">
        <v>458</v>
      </c>
      <c r="D75" s="146" t="s">
        <v>605</v>
      </c>
      <c r="E75" s="146" t="s">
        <v>606</v>
      </c>
      <c r="F75" s="146" t="s">
        <v>607</v>
      </c>
      <c r="G75" s="146" t="s">
        <v>26</v>
      </c>
      <c r="H75" s="146" t="s">
        <v>608</v>
      </c>
      <c r="I75" s="146" t="s">
        <v>26</v>
      </c>
      <c r="J75" s="146" t="s">
        <v>609</v>
      </c>
      <c r="N75" s="141"/>
    </row>
    <row r="76" spans="2:14" x14ac:dyDescent="0.15">
      <c r="E76" s="158" t="s">
        <v>194</v>
      </c>
      <c r="F76" s="158" t="s">
        <v>53</v>
      </c>
      <c r="G76" s="158" t="s">
        <v>53</v>
      </c>
      <c r="I76" s="158" t="s">
        <v>133</v>
      </c>
      <c r="J76" s="158" t="s">
        <v>133</v>
      </c>
    </row>
    <row r="77" spans="2:14" x14ac:dyDescent="0.15">
      <c r="B77" s="143" t="s">
        <v>610</v>
      </c>
      <c r="C77" s="124" t="s">
        <v>537</v>
      </c>
      <c r="D77" s="182">
        <v>45481</v>
      </c>
      <c r="E77" s="183">
        <v>1</v>
      </c>
      <c r="F77" s="213">
        <v>4100</v>
      </c>
      <c r="G77" s="213">
        <v>303</v>
      </c>
      <c r="H77" s="113" t="s">
        <v>611</v>
      </c>
      <c r="I77" s="168">
        <f>F77/G77</f>
        <v>13.531353135313532</v>
      </c>
      <c r="J77" s="174">
        <v>13.6</v>
      </c>
      <c r="N77" s="141"/>
    </row>
    <row r="78" spans="2:14" x14ac:dyDescent="0.15">
      <c r="B78" s="143" t="s">
        <v>612</v>
      </c>
      <c r="C78" s="124" t="s">
        <v>462</v>
      </c>
      <c r="D78" s="182">
        <v>45110</v>
      </c>
      <c r="E78" s="183">
        <v>1</v>
      </c>
      <c r="F78" s="213">
        <v>300</v>
      </c>
      <c r="G78" s="213">
        <v>25</v>
      </c>
      <c r="H78" s="113" t="s">
        <v>613</v>
      </c>
      <c r="I78" s="168">
        <f t="shared" ref="I78:I80" si="15">F78/G78</f>
        <v>12</v>
      </c>
      <c r="J78" s="174">
        <v>12</v>
      </c>
      <c r="N78" s="141"/>
    </row>
    <row r="79" spans="2:14" x14ac:dyDescent="0.15">
      <c r="B79" s="143" t="s">
        <v>614</v>
      </c>
      <c r="C79" s="124" t="s">
        <v>615</v>
      </c>
      <c r="D79" s="182">
        <v>44568</v>
      </c>
      <c r="E79" s="183">
        <v>0.75</v>
      </c>
      <c r="F79" s="213">
        <v>3300</v>
      </c>
      <c r="G79" s="213">
        <v>210</v>
      </c>
      <c r="H79" s="113" t="s">
        <v>616</v>
      </c>
      <c r="I79" s="168">
        <f t="shared" si="15"/>
        <v>15.714285714285714</v>
      </c>
      <c r="J79" s="174">
        <v>16</v>
      </c>
      <c r="N79" s="141"/>
    </row>
    <row r="80" spans="2:14" x14ac:dyDescent="0.15">
      <c r="B80" s="143" t="s">
        <v>617</v>
      </c>
      <c r="C80" s="124" t="s">
        <v>618</v>
      </c>
      <c r="D80" s="182">
        <v>44129</v>
      </c>
      <c r="E80" s="183">
        <v>1</v>
      </c>
      <c r="F80" s="213">
        <v>10800</v>
      </c>
      <c r="G80" s="213">
        <v>1000</v>
      </c>
      <c r="H80" s="113" t="s">
        <v>619</v>
      </c>
      <c r="I80" s="168">
        <f t="shared" si="15"/>
        <v>10.8</v>
      </c>
      <c r="J80" s="174">
        <v>10.9</v>
      </c>
      <c r="N80" s="141" t="s">
        <v>750</v>
      </c>
    </row>
    <row r="81" spans="2:14" x14ac:dyDescent="0.15">
      <c r="B81" s="153" t="s">
        <v>555</v>
      </c>
      <c r="C81" s="153"/>
      <c r="D81" s="153"/>
      <c r="E81" s="153"/>
      <c r="F81" s="153"/>
      <c r="G81" s="153"/>
      <c r="H81" s="153"/>
      <c r="I81" s="163">
        <f>AVERAGE(I77:I80)</f>
        <v>13.011409712399811</v>
      </c>
      <c r="J81" s="153"/>
      <c r="N81" s="141"/>
    </row>
    <row r="82" spans="2:14" x14ac:dyDescent="0.15">
      <c r="B82" s="143" t="s">
        <v>556</v>
      </c>
      <c r="I82" s="168">
        <f>MEDIAN(I77:I80)</f>
        <v>12.765676567656765</v>
      </c>
    </row>
    <row r="83" spans="2:14" x14ac:dyDescent="0.15">
      <c r="B83" s="143" t="s">
        <v>557</v>
      </c>
      <c r="I83" s="168">
        <f>MAX(I77:I80)</f>
        <v>15.714285714285714</v>
      </c>
    </row>
    <row r="84" spans="2:14" x14ac:dyDescent="0.15">
      <c r="B84" s="143" t="s">
        <v>558</v>
      </c>
      <c r="I84" s="168">
        <f>MIN(I77:I80)</f>
        <v>10.8</v>
      </c>
    </row>
    <row r="86" spans="2:14" x14ac:dyDescent="0.15">
      <c r="B86" s="151" t="s">
        <v>620</v>
      </c>
    </row>
    <row r="87" spans="2:14" x14ac:dyDescent="0.15">
      <c r="B87" s="141" t="s">
        <v>621</v>
      </c>
      <c r="C87" s="124" t="s">
        <v>622</v>
      </c>
      <c r="D87" s="158" t="s">
        <v>623</v>
      </c>
      <c r="E87" s="158" t="s">
        <v>624</v>
      </c>
      <c r="N87" s="141"/>
    </row>
    <row r="88" spans="2:14" x14ac:dyDescent="0.15">
      <c r="B88" s="141" t="s">
        <v>625</v>
      </c>
      <c r="C88" s="124" t="s">
        <v>622</v>
      </c>
      <c r="D88" s="158" t="s">
        <v>626</v>
      </c>
      <c r="E88" s="158" t="s">
        <v>627</v>
      </c>
      <c r="N88" s="141"/>
    </row>
    <row r="89" spans="2:14" x14ac:dyDescent="0.15">
      <c r="B89" s="141" t="s">
        <v>628</v>
      </c>
      <c r="C89" s="124" t="s">
        <v>50</v>
      </c>
      <c r="D89" s="158" t="s">
        <v>629</v>
      </c>
      <c r="E89" s="158" t="s">
        <v>630</v>
      </c>
      <c r="N89" s="141"/>
    </row>
    <row r="90" spans="2:14" x14ac:dyDescent="0.15">
      <c r="B90" s="141" t="s">
        <v>631</v>
      </c>
      <c r="C90" s="124" t="s">
        <v>462</v>
      </c>
      <c r="D90" s="158" t="s">
        <v>632</v>
      </c>
      <c r="E90" s="158" t="s">
        <v>633</v>
      </c>
      <c r="N90" s="141"/>
    </row>
    <row r="91" spans="2:14" x14ac:dyDescent="0.15">
      <c r="B91" s="141" t="s">
        <v>634</v>
      </c>
      <c r="C91" s="124" t="s">
        <v>537</v>
      </c>
      <c r="D91" s="158" t="s">
        <v>635</v>
      </c>
      <c r="E91" s="158" t="s">
        <v>633</v>
      </c>
      <c r="N91" s="141"/>
    </row>
    <row r="92" spans="2:14" x14ac:dyDescent="0.15">
      <c r="B92" s="141" t="s">
        <v>636</v>
      </c>
      <c r="C92" s="124" t="s">
        <v>537</v>
      </c>
      <c r="D92" s="158" t="s">
        <v>637</v>
      </c>
      <c r="E92" s="158" t="s">
        <v>633</v>
      </c>
      <c r="N92" s="141"/>
    </row>
    <row r="94" spans="2:14" x14ac:dyDescent="0.15">
      <c r="B94" s="151" t="s">
        <v>638</v>
      </c>
    </row>
    <row r="95" spans="2:14" x14ac:dyDescent="0.15">
      <c r="B95" s="11" t="s">
        <v>1</v>
      </c>
      <c r="C95" s="12"/>
      <c r="D95" s="146" t="s">
        <v>558</v>
      </c>
      <c r="E95" s="146" t="s">
        <v>555</v>
      </c>
      <c r="F95" s="146" t="s">
        <v>556</v>
      </c>
      <c r="G95" s="146" t="s">
        <v>557</v>
      </c>
    </row>
    <row r="96" spans="2:14" x14ac:dyDescent="0.15">
      <c r="B96" s="143" t="s">
        <v>639</v>
      </c>
      <c r="C96" s="124" t="s">
        <v>133</v>
      </c>
      <c r="D96" s="168">
        <f>I84</f>
        <v>10.8</v>
      </c>
      <c r="E96" s="168">
        <f>I81</f>
        <v>13.011409712399811</v>
      </c>
      <c r="F96" s="168">
        <f>I82</f>
        <v>12.765676567656765</v>
      </c>
      <c r="G96" s="168">
        <f>I83</f>
        <v>15.714285714285714</v>
      </c>
      <c r="N96" s="141"/>
    </row>
    <row r="97" spans="2:14" x14ac:dyDescent="0.15">
      <c r="B97" s="143" t="s">
        <v>562</v>
      </c>
      <c r="C97" s="124" t="s">
        <v>8</v>
      </c>
      <c r="D97" s="185">
        <f>$J$18</f>
        <v>1774.2719999999999</v>
      </c>
      <c r="E97" s="185">
        <f t="shared" ref="E97:G97" si="16">$J$18</f>
        <v>1774.2719999999999</v>
      </c>
      <c r="F97" s="185">
        <f t="shared" si="16"/>
        <v>1774.2719999999999</v>
      </c>
      <c r="G97" s="185">
        <f t="shared" si="16"/>
        <v>1774.2719999999999</v>
      </c>
      <c r="N97" s="141"/>
    </row>
    <row r="98" spans="2:14" x14ac:dyDescent="0.15">
      <c r="B98" s="144" t="s">
        <v>563</v>
      </c>
      <c r="C98" s="124" t="s">
        <v>8</v>
      </c>
      <c r="D98" s="186">
        <f>D97*D96</f>
        <v>19162.137600000002</v>
      </c>
      <c r="E98" s="186">
        <f t="shared" ref="E98:G98" si="17">E97*E96</f>
        <v>23085.779933239035</v>
      </c>
      <c r="F98" s="186">
        <f t="shared" si="17"/>
        <v>22649.782495049501</v>
      </c>
      <c r="G98" s="186">
        <f t="shared" si="17"/>
        <v>27881.417142857139</v>
      </c>
    </row>
    <row r="99" spans="2:14" x14ac:dyDescent="0.15">
      <c r="B99" s="143" t="s">
        <v>187</v>
      </c>
      <c r="C99" s="124" t="s">
        <v>8</v>
      </c>
      <c r="D99" s="185">
        <f>Model!$D$292</f>
        <v>-6441.73</v>
      </c>
      <c r="E99" s="185">
        <f>Model!$D$292</f>
        <v>-6441.73</v>
      </c>
      <c r="F99" s="185">
        <f>Model!$D$292</f>
        <v>-6441.73</v>
      </c>
      <c r="G99" s="185">
        <f>Model!$D$292</f>
        <v>-6441.73</v>
      </c>
      <c r="N99" s="141"/>
    </row>
    <row r="100" spans="2:14" x14ac:dyDescent="0.15">
      <c r="B100" s="143" t="s">
        <v>189</v>
      </c>
      <c r="C100" s="124" t="s">
        <v>8</v>
      </c>
      <c r="D100" s="185">
        <f>Model!$D$293</f>
        <v>-350.20699999999999</v>
      </c>
      <c r="E100" s="185">
        <f>Model!$D$293</f>
        <v>-350.20699999999999</v>
      </c>
      <c r="F100" s="185">
        <f>Model!$D$293</f>
        <v>-350.20699999999999</v>
      </c>
      <c r="G100" s="185">
        <f>Model!$D$293</f>
        <v>-350.20699999999999</v>
      </c>
    </row>
    <row r="101" spans="2:14" x14ac:dyDescent="0.15">
      <c r="B101" s="143" t="s">
        <v>190</v>
      </c>
      <c r="C101" s="124" t="s">
        <v>8</v>
      </c>
      <c r="D101" s="185">
        <f>Model!$D$294</f>
        <v>390.52800000000002</v>
      </c>
      <c r="E101" s="185">
        <f>Model!$D$294</f>
        <v>390.52800000000002</v>
      </c>
      <c r="F101" s="185">
        <f>Model!$D$294</f>
        <v>390.52800000000002</v>
      </c>
      <c r="G101" s="185">
        <f>Model!$D$294</f>
        <v>390.52800000000002</v>
      </c>
    </row>
    <row r="102" spans="2:14" x14ac:dyDescent="0.15">
      <c r="B102" s="143" t="s">
        <v>564</v>
      </c>
      <c r="C102" s="124" t="s">
        <v>8</v>
      </c>
      <c r="D102" s="185">
        <f>Model!$D$295</f>
        <v>-447.16404599999998</v>
      </c>
      <c r="E102" s="185">
        <f>Model!$D$295</f>
        <v>-447.16404599999998</v>
      </c>
      <c r="F102" s="185">
        <f>Model!$D$295</f>
        <v>-447.16404599999998</v>
      </c>
      <c r="G102" s="185">
        <f>Model!$D$295</f>
        <v>-447.16404599999998</v>
      </c>
    </row>
    <row r="103" spans="2:14" x14ac:dyDescent="0.15">
      <c r="B103" s="144" t="s">
        <v>565</v>
      </c>
      <c r="C103" s="124" t="s">
        <v>8</v>
      </c>
      <c r="D103" s="186">
        <f>SUM(D98:D102)</f>
        <v>12313.564554000002</v>
      </c>
      <c r="E103" s="186">
        <f t="shared" ref="E103:G103" si="18">SUM(E98:E102)</f>
        <v>16237.206887239035</v>
      </c>
      <c r="F103" s="186">
        <f t="shared" si="18"/>
        <v>15801.209449049502</v>
      </c>
      <c r="G103" s="186">
        <f t="shared" si="18"/>
        <v>21032.844096857138</v>
      </c>
    </row>
    <row r="104" spans="2:14" x14ac:dyDescent="0.15">
      <c r="B104" s="143" t="s">
        <v>188</v>
      </c>
      <c r="C104" s="124" t="s">
        <v>53</v>
      </c>
      <c r="D104" s="159">
        <f>SharesOut</f>
        <v>21.333731</v>
      </c>
      <c r="E104" s="159">
        <f>SharesOut</f>
        <v>21.333731</v>
      </c>
      <c r="F104" s="159">
        <f>SharesOut</f>
        <v>21.333731</v>
      </c>
      <c r="G104" s="159">
        <f>SharesOut</f>
        <v>21.333731</v>
      </c>
      <c r="N104" s="141"/>
    </row>
    <row r="105" spans="2:14" x14ac:dyDescent="0.15">
      <c r="B105" s="144" t="s">
        <v>566</v>
      </c>
      <c r="C105" s="124" t="s">
        <v>50</v>
      </c>
      <c r="D105" s="145">
        <f>D103/D104</f>
        <v>577.18757933152915</v>
      </c>
      <c r="E105" s="145">
        <f t="shared" ref="E105:G105" si="19">E103/E104</f>
        <v>761.10488536857599</v>
      </c>
      <c r="F105" s="145">
        <f t="shared" si="19"/>
        <v>740.6678864118752</v>
      </c>
      <c r="G105" s="145">
        <f t="shared" si="19"/>
        <v>985.8961893190243</v>
      </c>
    </row>
    <row r="106" spans="2:14" x14ac:dyDescent="0.15">
      <c r="B106" s="144" t="s">
        <v>567</v>
      </c>
      <c r="C106" s="124" t="s">
        <v>194</v>
      </c>
      <c r="D106" s="184">
        <f>D105/Inputs!$D$113-1</f>
        <v>0.17076588099701651</v>
      </c>
      <c r="E106" s="184">
        <f>E105/Inputs!$D$113-1</f>
        <v>0.54382329689366338</v>
      </c>
      <c r="F106" s="184">
        <f>F105/Inputs!$D$113-1</f>
        <v>0.50236893795512216</v>
      </c>
      <c r="G106" s="184">
        <f>G105/Inputs!$D$113-1</f>
        <v>0.99978943066739201</v>
      </c>
      <c r="N106" s="14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4089-AAF8-754A-9C34-2D3B71E5BA23}">
  <sheetPr>
    <outlinePr summaryBelow="0"/>
  </sheetPr>
  <dimension ref="A1:H4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baseColWidth="10" defaultColWidth="8.83203125" defaultRowHeight="13" x14ac:dyDescent="0.15"/>
  <cols>
    <col min="1" max="1" width="2" customWidth="1"/>
    <col min="2" max="2" width="58" customWidth="1"/>
    <col min="3" max="3" width="8" customWidth="1"/>
    <col min="4" max="7" width="11" customWidth="1"/>
    <col min="8" max="8" width="90" customWidth="1"/>
  </cols>
  <sheetData>
    <row r="1" spans="1:8" ht="26" customHeight="1" x14ac:dyDescent="0.15">
      <c r="A1" s="1"/>
      <c r="B1" s="2" t="s">
        <v>289</v>
      </c>
      <c r="C1" s="1"/>
      <c r="D1" s="1"/>
      <c r="E1" s="1"/>
      <c r="F1" s="1"/>
      <c r="G1" s="1"/>
      <c r="H1" s="1"/>
    </row>
    <row r="2" spans="1:8" x14ac:dyDescent="0.15">
      <c r="B2" s="17" t="s">
        <v>1</v>
      </c>
    </row>
    <row r="4" spans="1:8" x14ac:dyDescent="0.15">
      <c r="B4" s="17" t="s">
        <v>8</v>
      </c>
      <c r="D4" s="34">
        <v>2022</v>
      </c>
      <c r="E4" s="34">
        <v>2023</v>
      </c>
      <c r="F4" s="34">
        <v>2024</v>
      </c>
      <c r="G4" s="34">
        <v>2025</v>
      </c>
      <c r="H4" s="11" t="s">
        <v>290</v>
      </c>
    </row>
    <row r="6" spans="1:8" ht="18" customHeight="1" x14ac:dyDescent="0.15">
      <c r="B6" s="5" t="s">
        <v>291</v>
      </c>
      <c r="C6" s="6"/>
      <c r="D6" s="6"/>
      <c r="E6" s="6"/>
      <c r="F6" s="6"/>
      <c r="G6" s="6"/>
      <c r="H6" s="6"/>
    </row>
    <row r="7" spans="1:8" x14ac:dyDescent="0.15">
      <c r="B7" s="8" t="s">
        <v>15</v>
      </c>
      <c r="D7" s="214">
        <v>7875.2839999999997</v>
      </c>
      <c r="E7" s="214">
        <v>8690.1029999999992</v>
      </c>
      <c r="F7" s="214">
        <v>11081.953</v>
      </c>
      <c r="G7" s="214">
        <v>10754.328</v>
      </c>
      <c r="H7" s="17" t="s">
        <v>292</v>
      </c>
    </row>
    <row r="8" spans="1:8" x14ac:dyDescent="0.15">
      <c r="B8" s="8" t="s">
        <v>293</v>
      </c>
      <c r="D8" s="214">
        <v>-4564.018</v>
      </c>
      <c r="E8" s="214">
        <v>-4802.6509999999998</v>
      </c>
      <c r="F8" s="214">
        <v>-6037.14</v>
      </c>
      <c r="G8" s="214">
        <v>-5675</v>
      </c>
    </row>
    <row r="9" spans="1:8" x14ac:dyDescent="0.15">
      <c r="B9" s="22" t="s">
        <v>294</v>
      </c>
      <c r="D9" s="215">
        <v>3311.2660000000001</v>
      </c>
      <c r="E9" s="215">
        <v>3887.4520000000002</v>
      </c>
      <c r="F9" s="215">
        <v>5044.8130000000001</v>
      </c>
      <c r="G9" s="215">
        <v>5079.3280000000004</v>
      </c>
    </row>
    <row r="10" spans="1:8" x14ac:dyDescent="0.15">
      <c r="B10" s="8" t="s">
        <v>295</v>
      </c>
      <c r="D10" s="214">
        <v>-2329.973</v>
      </c>
      <c r="E10" s="214">
        <v>-2487.7649999999999</v>
      </c>
      <c r="F10" s="214">
        <v>-3201.0010000000002</v>
      </c>
      <c r="G10" s="214">
        <v>-3356.442</v>
      </c>
    </row>
    <row r="11" spans="1:8" x14ac:dyDescent="0.15">
      <c r="B11" s="8" t="s">
        <v>296</v>
      </c>
      <c r="D11" s="214">
        <v>-466.50900000000001</v>
      </c>
      <c r="E11" s="214">
        <v>-707.05200000000002</v>
      </c>
      <c r="F11" s="214">
        <v>-705.86599999999999</v>
      </c>
      <c r="G11" s="214">
        <v>-606.82000000000005</v>
      </c>
    </row>
    <row r="12" spans="1:8" x14ac:dyDescent="0.15">
      <c r="B12" s="8" t="s">
        <v>24</v>
      </c>
      <c r="D12" s="214">
        <v>47.857999999999997</v>
      </c>
      <c r="E12" s="214">
        <v>89.917000000000002</v>
      </c>
      <c r="F12" s="214">
        <v>271.88900000000001</v>
      </c>
      <c r="G12" s="214">
        <v>152.16399999999999</v>
      </c>
    </row>
    <row r="13" spans="1:8" x14ac:dyDescent="0.15">
      <c r="B13" s="8" t="s">
        <v>297</v>
      </c>
      <c r="D13" s="214">
        <v>-80.001999999999995</v>
      </c>
      <c r="E13" s="214">
        <v>-35.348999999999997</v>
      </c>
      <c r="F13" s="214">
        <v>-166.779</v>
      </c>
      <c r="G13" s="214">
        <v>-103.646</v>
      </c>
    </row>
    <row r="14" spans="1:8" x14ac:dyDescent="0.15">
      <c r="B14" s="22" t="s">
        <v>298</v>
      </c>
      <c r="D14" s="215">
        <v>482.64</v>
      </c>
      <c r="E14" s="215">
        <v>747.20299999999895</v>
      </c>
      <c r="F14" s="215">
        <v>1243.056</v>
      </c>
      <c r="G14" s="215">
        <v>1164.5840000000001</v>
      </c>
    </row>
    <row r="15" spans="1:8" x14ac:dyDescent="0.15">
      <c r="B15" s="8" t="s">
        <v>39</v>
      </c>
      <c r="D15" s="214">
        <v>158.28200000000001</v>
      </c>
      <c r="E15" s="214">
        <v>34.256</v>
      </c>
      <c r="F15" s="214">
        <v>46.197000000000003</v>
      </c>
      <c r="G15" s="214">
        <v>84.531999999999996</v>
      </c>
    </row>
    <row r="16" spans="1:8" x14ac:dyDescent="0.15">
      <c r="B16" s="8" t="s">
        <v>40</v>
      </c>
      <c r="D16" s="214">
        <v>-241.078</v>
      </c>
      <c r="E16" s="214">
        <v>-295.53199999999998</v>
      </c>
      <c r="F16" s="214">
        <v>-361.47</v>
      </c>
      <c r="G16" s="214">
        <v>-314.44799999999998</v>
      </c>
    </row>
    <row r="17" spans="2:8" x14ac:dyDescent="0.15">
      <c r="B17" s="8" t="s">
        <v>299</v>
      </c>
      <c r="D17" s="214">
        <v>0</v>
      </c>
      <c r="E17" s="214">
        <v>-3.9849999999999999</v>
      </c>
      <c r="F17" s="214">
        <v>-0.48199999999999998</v>
      </c>
      <c r="G17" s="214">
        <v>-1.758</v>
      </c>
    </row>
    <row r="18" spans="2:8" x14ac:dyDescent="0.15">
      <c r="B18" s="22" t="s">
        <v>42</v>
      </c>
      <c r="D18" s="215">
        <v>399.84399999999999</v>
      </c>
      <c r="E18" s="215">
        <v>481.94199999999898</v>
      </c>
      <c r="F18" s="215">
        <v>927.30099999999902</v>
      </c>
      <c r="G18" s="215">
        <v>932.90999999999894</v>
      </c>
    </row>
    <row r="19" spans="2:8" x14ac:dyDescent="0.15">
      <c r="B19" s="8" t="s">
        <v>43</v>
      </c>
      <c r="D19" s="214">
        <v>-135.92500000000001</v>
      </c>
      <c r="E19" s="214">
        <v>-112.965</v>
      </c>
      <c r="F19" s="214">
        <v>-274.149</v>
      </c>
      <c r="G19" s="214">
        <v>-251.321</v>
      </c>
    </row>
    <row r="20" spans="2:8" x14ac:dyDescent="0.15">
      <c r="B20" s="22" t="s">
        <v>44</v>
      </c>
      <c r="D20" s="215">
        <v>263.91899999999998</v>
      </c>
      <c r="E20" s="215">
        <v>368.97699999999901</v>
      </c>
      <c r="F20" s="215">
        <v>653.15199999999902</v>
      </c>
      <c r="G20" s="215">
        <v>681.58899999999903</v>
      </c>
    </row>
    <row r="21" spans="2:8" x14ac:dyDescent="0.15">
      <c r="B21" s="8" t="s">
        <v>300</v>
      </c>
      <c r="D21" s="214">
        <v>269.14999999999998</v>
      </c>
      <c r="E21" s="214">
        <v>365.39699999999999</v>
      </c>
      <c r="F21" s="214">
        <v>597.89200000000005</v>
      </c>
      <c r="G21" s="214">
        <v>673.92399999999998</v>
      </c>
    </row>
    <row r="22" spans="2:8" x14ac:dyDescent="0.15">
      <c r="B22" s="8" t="s">
        <v>301</v>
      </c>
      <c r="D22" s="214">
        <v>-5.2309999999999999</v>
      </c>
      <c r="E22" s="214">
        <v>3.58</v>
      </c>
      <c r="F22" s="214">
        <v>55.26</v>
      </c>
      <c r="G22" s="214">
        <v>7.665</v>
      </c>
    </row>
    <row r="24" spans="2:8" x14ac:dyDescent="0.15">
      <c r="B24" s="18" t="s">
        <v>302</v>
      </c>
    </row>
    <row r="25" spans="2:8" x14ac:dyDescent="0.15">
      <c r="B25" s="8" t="s">
        <v>303</v>
      </c>
      <c r="D25" s="35">
        <v>12.07</v>
      </c>
      <c r="E25" s="35">
        <v>16.39</v>
      </c>
      <c r="F25" s="35">
        <v>26.82</v>
      </c>
      <c r="G25" s="35">
        <v>30.23</v>
      </c>
      <c r="H25" s="17" t="s">
        <v>292</v>
      </c>
    </row>
    <row r="26" spans="2:8" x14ac:dyDescent="0.15">
      <c r="B26" s="8" t="s">
        <v>304</v>
      </c>
      <c r="D26" s="35">
        <v>11.3</v>
      </c>
      <c r="E26" s="35">
        <v>13.5</v>
      </c>
      <c r="F26" s="35">
        <v>21</v>
      </c>
      <c r="G26" s="35">
        <v>13.5</v>
      </c>
      <c r="H26" s="17" t="s">
        <v>666</v>
      </c>
    </row>
    <row r="27" spans="2:8" x14ac:dyDescent="0.15">
      <c r="B27" s="8" t="s">
        <v>305</v>
      </c>
      <c r="D27" s="35">
        <v>13.5</v>
      </c>
      <c r="E27" s="35">
        <v>13.5</v>
      </c>
      <c r="F27" s="35">
        <v>21</v>
      </c>
      <c r="G27" s="35">
        <v>21</v>
      </c>
      <c r="H27" s="17" t="s">
        <v>667</v>
      </c>
    </row>
    <row r="28" spans="2:8" x14ac:dyDescent="0.15">
      <c r="B28" s="8" t="s">
        <v>306</v>
      </c>
      <c r="D28" s="35">
        <v>22.291948000000001</v>
      </c>
      <c r="E28" s="35">
        <v>22.291948000000001</v>
      </c>
      <c r="F28" s="35">
        <v>22.291948000000001</v>
      </c>
      <c r="G28" s="35">
        <v>22.291948000000001</v>
      </c>
      <c r="H28" s="17" t="s">
        <v>657</v>
      </c>
    </row>
    <row r="29" spans="2:8" x14ac:dyDescent="0.15">
      <c r="B29" s="8" t="s">
        <v>307</v>
      </c>
      <c r="D29" s="35">
        <v>1.062236</v>
      </c>
      <c r="E29" s="35">
        <v>1.062236</v>
      </c>
      <c r="F29" s="35">
        <v>1.025266</v>
      </c>
      <c r="G29" s="35">
        <v>0.99842200000000003</v>
      </c>
      <c r="H29" s="17" t="s">
        <v>668</v>
      </c>
    </row>
    <row r="30" spans="2:8" x14ac:dyDescent="0.15">
      <c r="B30" s="22" t="s">
        <v>308</v>
      </c>
      <c r="D30" s="216">
        <v>21.229711999999999</v>
      </c>
      <c r="E30" s="216">
        <v>21.229711999999999</v>
      </c>
      <c r="F30" s="216">
        <v>21.266681999999999</v>
      </c>
      <c r="G30" s="216">
        <v>21.293526</v>
      </c>
    </row>
    <row r="31" spans="2:8" x14ac:dyDescent="0.15">
      <c r="B31" s="18" t="s">
        <v>309</v>
      </c>
    </row>
    <row r="32" spans="2:8" x14ac:dyDescent="0.15">
      <c r="B32" s="8" t="s">
        <v>310</v>
      </c>
      <c r="D32" s="214">
        <v>586.096</v>
      </c>
      <c r="E32" s="214">
        <v>540.42100000000005</v>
      </c>
      <c r="F32" s="214">
        <v>674.07600000000002</v>
      </c>
      <c r="G32" s="214">
        <v>760.64400000000001</v>
      </c>
      <c r="H32" s="17" t="s">
        <v>79</v>
      </c>
    </row>
    <row r="33" spans="2:8" x14ac:dyDescent="0.15">
      <c r="B33" s="22" t="s">
        <v>311</v>
      </c>
      <c r="D33" s="215">
        <v>1068.7360000000001</v>
      </c>
      <c r="E33" s="215">
        <v>1287.624</v>
      </c>
      <c r="F33" s="215">
        <v>1917.1320000000001</v>
      </c>
      <c r="G33" s="215">
        <v>1925.2280000000001</v>
      </c>
    </row>
    <row r="34" spans="2:8" x14ac:dyDescent="0.15">
      <c r="B34" s="8" t="s">
        <v>312</v>
      </c>
      <c r="D34" s="214">
        <v>41.695</v>
      </c>
      <c r="E34" s="214">
        <v>-34.22</v>
      </c>
      <c r="F34" s="214">
        <v>-66.138000000000005</v>
      </c>
      <c r="G34" s="214">
        <v>-108.78400000000001</v>
      </c>
      <c r="H34" s="17" t="s">
        <v>669</v>
      </c>
    </row>
    <row r="35" spans="2:8" x14ac:dyDescent="0.15">
      <c r="B35" s="22" t="s">
        <v>28</v>
      </c>
      <c r="D35" s="215">
        <v>1110.431</v>
      </c>
      <c r="E35" s="215">
        <v>1253.404</v>
      </c>
      <c r="F35" s="215">
        <v>1850.9939999999999</v>
      </c>
      <c r="G35" s="215">
        <v>1816.444</v>
      </c>
    </row>
    <row r="36" spans="2:8" x14ac:dyDescent="0.15">
      <c r="B36" s="8" t="s">
        <v>313</v>
      </c>
      <c r="D36" s="214">
        <v>482.64</v>
      </c>
      <c r="E36" s="214">
        <v>747.20299999999997</v>
      </c>
      <c r="F36" s="214">
        <v>1243.056</v>
      </c>
      <c r="G36" s="214">
        <v>1164.5840000000001</v>
      </c>
      <c r="H36" s="17" t="s">
        <v>314</v>
      </c>
    </row>
    <row r="37" spans="2:8" x14ac:dyDescent="0.15">
      <c r="B37" s="8" t="s">
        <v>315</v>
      </c>
      <c r="D37" s="214">
        <v>263.91899999999998</v>
      </c>
      <c r="E37" s="214">
        <v>368.97699999999998</v>
      </c>
      <c r="F37" s="214">
        <v>653.15200000000004</v>
      </c>
      <c r="G37" s="214">
        <v>681.58900000000006</v>
      </c>
      <c r="H37" s="17" t="s">
        <v>314</v>
      </c>
    </row>
    <row r="39" spans="2:8" ht="18" customHeight="1" x14ac:dyDescent="0.15">
      <c r="B39" s="5" t="s">
        <v>316</v>
      </c>
      <c r="C39" s="6"/>
      <c r="D39" s="6"/>
      <c r="E39" s="6"/>
      <c r="F39" s="6"/>
      <c r="G39" s="6"/>
      <c r="H39" s="6"/>
    </row>
    <row r="40" spans="2:8" x14ac:dyDescent="0.15">
      <c r="B40" s="18" t="s">
        <v>317</v>
      </c>
    </row>
    <row r="41" spans="2:8" x14ac:dyDescent="0.15">
      <c r="B41" s="8" t="s">
        <v>318</v>
      </c>
      <c r="D41" s="214">
        <v>3098.4769999999999</v>
      </c>
      <c r="E41" s="214">
        <v>3113.2620000000002</v>
      </c>
      <c r="F41" s="214">
        <v>4410.3180000000002</v>
      </c>
      <c r="G41" s="214">
        <v>5267.049</v>
      </c>
      <c r="H41" s="17" t="s">
        <v>292</v>
      </c>
    </row>
    <row r="42" spans="2:8" x14ac:dyDescent="0.15">
      <c r="B42" s="8" t="s">
        <v>319</v>
      </c>
      <c r="E42" s="214">
        <v>0</v>
      </c>
      <c r="F42" s="214">
        <v>31.76</v>
      </c>
      <c r="G42" s="214">
        <v>32.654000000000003</v>
      </c>
    </row>
    <row r="43" spans="2:8" x14ac:dyDescent="0.15">
      <c r="B43" s="8" t="s">
        <v>320</v>
      </c>
      <c r="D43" s="214">
        <v>647.96900000000005</v>
      </c>
      <c r="E43" s="214">
        <v>662.31799999999998</v>
      </c>
      <c r="F43" s="214">
        <v>780.94200000000001</v>
      </c>
      <c r="G43" s="214">
        <v>1053.883</v>
      </c>
    </row>
    <row r="44" spans="2:8" x14ac:dyDescent="0.15">
      <c r="B44" s="8" t="s">
        <v>321</v>
      </c>
      <c r="D44" s="214">
        <v>1177.692</v>
      </c>
      <c r="E44" s="214">
        <v>1159.796</v>
      </c>
      <c r="F44" s="214">
        <v>1668.8050000000001</v>
      </c>
      <c r="G44" s="214">
        <v>1710.0930000000001</v>
      </c>
    </row>
    <row r="45" spans="2:8" x14ac:dyDescent="0.15">
      <c r="B45" s="8" t="s">
        <v>64</v>
      </c>
      <c r="D45" s="214">
        <v>0</v>
      </c>
      <c r="E45" s="214">
        <v>75.695999999999998</v>
      </c>
      <c r="F45" s="214">
        <v>190.58</v>
      </c>
      <c r="G45" s="214">
        <v>188.721</v>
      </c>
    </row>
    <row r="46" spans="2:8" x14ac:dyDescent="0.15">
      <c r="B46" s="8" t="s">
        <v>322</v>
      </c>
      <c r="D46" s="214">
        <v>164.792</v>
      </c>
      <c r="E46" s="214">
        <v>80.569000000000003</v>
      </c>
      <c r="F46" s="214">
        <v>109.58499999999999</v>
      </c>
      <c r="G46" s="214">
        <v>135.33000000000001</v>
      </c>
    </row>
    <row r="47" spans="2:8" x14ac:dyDescent="0.15">
      <c r="B47" s="8" t="s">
        <v>323</v>
      </c>
      <c r="F47" s="214">
        <v>0</v>
      </c>
      <c r="G47" s="214">
        <v>58</v>
      </c>
    </row>
    <row r="48" spans="2:8" x14ac:dyDescent="0.15">
      <c r="B48" s="8" t="s">
        <v>324</v>
      </c>
      <c r="D48" s="214">
        <v>0</v>
      </c>
      <c r="E48" s="214">
        <v>38.606999999999999</v>
      </c>
      <c r="F48" s="214">
        <v>54.182000000000002</v>
      </c>
      <c r="G48" s="214">
        <v>30.533999999999999</v>
      </c>
    </row>
    <row r="49" spans="2:8" x14ac:dyDescent="0.15">
      <c r="B49" s="22" t="s">
        <v>66</v>
      </c>
      <c r="D49" s="215">
        <v>5088.93</v>
      </c>
      <c r="E49" s="215">
        <v>5130.2479999999996</v>
      </c>
      <c r="F49" s="215">
        <v>7246.1719999999996</v>
      </c>
      <c r="G49" s="215">
        <v>8476.2639999999992</v>
      </c>
    </row>
    <row r="51" spans="2:8" x14ac:dyDescent="0.15">
      <c r="B51" s="18" t="s">
        <v>325</v>
      </c>
    </row>
    <row r="52" spans="2:8" x14ac:dyDescent="0.15">
      <c r="B52" s="8" t="s">
        <v>58</v>
      </c>
      <c r="D52" s="214">
        <v>766.43700000000001</v>
      </c>
      <c r="E52" s="214">
        <v>706.19100000000003</v>
      </c>
      <c r="F52" s="214">
        <v>941.88400000000001</v>
      </c>
      <c r="G52" s="214">
        <v>1008.021</v>
      </c>
    </row>
    <row r="53" spans="2:8" x14ac:dyDescent="0.15">
      <c r="B53" s="8" t="s">
        <v>57</v>
      </c>
      <c r="D53" s="214">
        <v>997.98900000000003</v>
      </c>
      <c r="E53" s="214">
        <v>1119.9380000000001</v>
      </c>
      <c r="F53" s="214">
        <v>1451.404</v>
      </c>
      <c r="G53" s="214">
        <v>1338.4290000000001</v>
      </c>
    </row>
    <row r="54" spans="2:8" x14ac:dyDescent="0.15">
      <c r="B54" s="8" t="s">
        <v>60</v>
      </c>
      <c r="D54" s="214">
        <v>23.635000000000002</v>
      </c>
      <c r="E54" s="214">
        <v>0.125</v>
      </c>
      <c r="F54" s="214">
        <v>3.556</v>
      </c>
      <c r="G54" s="214">
        <v>80.772999999999996</v>
      </c>
    </row>
    <row r="55" spans="2:8" x14ac:dyDescent="0.15">
      <c r="B55" s="8" t="s">
        <v>56</v>
      </c>
      <c r="D55" s="214">
        <v>626.44200000000001</v>
      </c>
      <c r="E55" s="214">
        <v>1071.0989999999999</v>
      </c>
      <c r="F55" s="214">
        <v>1229.999</v>
      </c>
      <c r="G55" s="214">
        <v>634.71799999999996</v>
      </c>
    </row>
    <row r="56" spans="2:8" x14ac:dyDescent="0.15">
      <c r="B56" s="22" t="s">
        <v>61</v>
      </c>
      <c r="D56" s="215">
        <v>2414.5030000000002</v>
      </c>
      <c r="E56" s="215">
        <v>2897.3530000000001</v>
      </c>
      <c r="F56" s="215">
        <v>3626.8429999999998</v>
      </c>
      <c r="G56" s="215">
        <v>3061.9409999999998</v>
      </c>
    </row>
    <row r="57" spans="2:8" x14ac:dyDescent="0.15">
      <c r="B57" s="22" t="s">
        <v>326</v>
      </c>
      <c r="D57" s="215">
        <v>7503.433</v>
      </c>
      <c r="E57" s="215">
        <v>8027.6009999999997</v>
      </c>
      <c r="F57" s="215">
        <v>10873.014999999999</v>
      </c>
      <c r="G57" s="215">
        <v>11538.205</v>
      </c>
    </row>
    <row r="59" spans="2:8" x14ac:dyDescent="0.15">
      <c r="B59" s="18" t="s">
        <v>327</v>
      </c>
    </row>
    <row r="60" spans="2:8" x14ac:dyDescent="0.15">
      <c r="B60" s="8" t="s">
        <v>328</v>
      </c>
      <c r="D60" s="214">
        <v>1114.597</v>
      </c>
      <c r="E60" s="214">
        <v>1114.597</v>
      </c>
      <c r="F60" s="214">
        <v>1114.597</v>
      </c>
      <c r="G60" s="214">
        <v>1114.597</v>
      </c>
    </row>
    <row r="61" spans="2:8" x14ac:dyDescent="0.15">
      <c r="B61" s="8" t="s">
        <v>329</v>
      </c>
      <c r="D61" s="214">
        <v>-1962.8710000000001</v>
      </c>
      <c r="E61" s="214">
        <v>-1962.8710000000001</v>
      </c>
      <c r="F61" s="214">
        <v>-1962.8710000000001</v>
      </c>
      <c r="G61" s="214">
        <v>-1962.8710000000001</v>
      </c>
      <c r="H61" s="17"/>
    </row>
    <row r="62" spans="2:8" x14ac:dyDescent="0.15">
      <c r="B62" s="8" t="s">
        <v>330</v>
      </c>
      <c r="D62" s="214">
        <v>2516.7420000000002</v>
      </c>
      <c r="E62" s="214">
        <v>2614.7759999999998</v>
      </c>
      <c r="F62" s="214">
        <v>2663.1790000000001</v>
      </c>
      <c r="G62" s="214">
        <v>2574.1990000000001</v>
      </c>
    </row>
    <row r="63" spans="2:8" x14ac:dyDescent="0.15">
      <c r="B63" s="8" t="s">
        <v>331</v>
      </c>
      <c r="D63" s="214">
        <v>-30.074999999999999</v>
      </c>
      <c r="E63" s="214">
        <v>-1.1930000000000001</v>
      </c>
      <c r="F63" s="214">
        <v>15.07</v>
      </c>
      <c r="G63" s="214">
        <v>-20.824999999999999</v>
      </c>
    </row>
    <row r="64" spans="2:8" x14ac:dyDescent="0.15">
      <c r="B64" s="8" t="s">
        <v>332</v>
      </c>
      <c r="D64" s="214">
        <v>-467.38200000000001</v>
      </c>
      <c r="E64" s="214">
        <v>-467.38200000000001</v>
      </c>
      <c r="F64" s="214">
        <v>-451.11500000000001</v>
      </c>
      <c r="G64" s="214">
        <v>-439.30399999999997</v>
      </c>
      <c r="H64" s="17"/>
    </row>
    <row r="65" spans="2:8" x14ac:dyDescent="0.15">
      <c r="B65" s="8" t="s">
        <v>333</v>
      </c>
      <c r="D65" s="214">
        <v>161.35400000000001</v>
      </c>
      <c r="E65" s="214">
        <v>159.91800000000001</v>
      </c>
      <c r="F65" s="214">
        <v>311.78100000000001</v>
      </c>
      <c r="G65" s="214">
        <v>682.09500000000003</v>
      </c>
    </row>
    <row r="66" spans="2:8" x14ac:dyDescent="0.15">
      <c r="B66" s="22" t="s">
        <v>334</v>
      </c>
      <c r="D66" s="215">
        <v>1332.365</v>
      </c>
      <c r="E66" s="215">
        <v>1457.845</v>
      </c>
      <c r="F66" s="215">
        <v>1690.6410000000001</v>
      </c>
      <c r="G66" s="215">
        <v>1947.8910000000001</v>
      </c>
    </row>
    <row r="67" spans="2:8" x14ac:dyDescent="0.15">
      <c r="B67" s="8" t="s">
        <v>45</v>
      </c>
      <c r="D67" s="214">
        <v>-44.735999999999997</v>
      </c>
      <c r="E67" s="214">
        <v>5.0000000000000001E-3</v>
      </c>
      <c r="F67" s="214">
        <v>333.36700000000002</v>
      </c>
      <c r="G67" s="214">
        <v>334.98500000000001</v>
      </c>
      <c r="H67" s="17"/>
    </row>
    <row r="68" spans="2:8" x14ac:dyDescent="0.15">
      <c r="B68" s="22" t="s">
        <v>76</v>
      </c>
      <c r="D68" s="215">
        <v>1287.6289999999999</v>
      </c>
      <c r="E68" s="215">
        <v>1457.85</v>
      </c>
      <c r="F68" s="215">
        <v>2024.008</v>
      </c>
      <c r="G68" s="215">
        <v>2282.8760000000002</v>
      </c>
    </row>
    <row r="70" spans="2:8" x14ac:dyDescent="0.15">
      <c r="B70" s="18" t="s">
        <v>335</v>
      </c>
    </row>
    <row r="71" spans="2:8" x14ac:dyDescent="0.15">
      <c r="B71" s="8" t="s">
        <v>336</v>
      </c>
      <c r="D71" s="214">
        <v>3058.2260000000001</v>
      </c>
      <c r="E71" s="214">
        <v>3153.9450000000002</v>
      </c>
      <c r="F71" s="214">
        <v>3692.0639999999999</v>
      </c>
      <c r="G71" s="214">
        <v>4064.5520000000001</v>
      </c>
    </row>
    <row r="72" spans="2:8" x14ac:dyDescent="0.15">
      <c r="B72" s="8" t="s">
        <v>337</v>
      </c>
      <c r="D72" s="214">
        <v>252.59399999999999</v>
      </c>
      <c r="E72" s="214">
        <v>215.89099999999999</v>
      </c>
      <c r="F72" s="214">
        <v>299.39</v>
      </c>
      <c r="G72" s="214">
        <v>386.73399999999998</v>
      </c>
    </row>
    <row r="73" spans="2:8" x14ac:dyDescent="0.15">
      <c r="B73" s="8" t="s">
        <v>338</v>
      </c>
      <c r="D73" s="214">
        <v>32.613</v>
      </c>
      <c r="E73" s="214">
        <v>51.505000000000003</v>
      </c>
      <c r="F73" s="214">
        <v>74.052999999999997</v>
      </c>
      <c r="G73" s="214">
        <v>37.100999999999999</v>
      </c>
    </row>
    <row r="74" spans="2:8" x14ac:dyDescent="0.15">
      <c r="B74" s="8" t="s">
        <v>73</v>
      </c>
      <c r="D74" s="214">
        <v>16.824999999999999</v>
      </c>
      <c r="E74" s="214">
        <v>76.846999999999994</v>
      </c>
      <c r="F74" s="214">
        <v>229.7</v>
      </c>
      <c r="G74" s="214">
        <v>103.003</v>
      </c>
    </row>
    <row r="75" spans="2:8" x14ac:dyDescent="0.15">
      <c r="B75" s="8" t="s">
        <v>339</v>
      </c>
      <c r="D75" s="214">
        <v>303.83999999999997</v>
      </c>
      <c r="E75" s="214">
        <v>264.464</v>
      </c>
      <c r="F75" s="214">
        <v>444.66199999999998</v>
      </c>
      <c r="G75" s="214">
        <v>523.05100000000004</v>
      </c>
    </row>
    <row r="76" spans="2:8" x14ac:dyDescent="0.15">
      <c r="B76" s="22" t="s">
        <v>340</v>
      </c>
      <c r="D76" s="215">
        <v>3664.098</v>
      </c>
      <c r="E76" s="215">
        <v>3762.652</v>
      </c>
      <c r="F76" s="215">
        <v>4739.8689999999997</v>
      </c>
      <c r="G76" s="215">
        <v>5114.4409999999998</v>
      </c>
    </row>
    <row r="78" spans="2:8" x14ac:dyDescent="0.15">
      <c r="B78" s="18" t="s">
        <v>341</v>
      </c>
    </row>
    <row r="79" spans="2:8" x14ac:dyDescent="0.15">
      <c r="B79" s="8" t="s">
        <v>342</v>
      </c>
      <c r="D79" s="214">
        <v>491.79899999999998</v>
      </c>
      <c r="E79" s="214">
        <v>447.315</v>
      </c>
      <c r="F79" s="214">
        <v>1076.981</v>
      </c>
      <c r="G79" s="214">
        <v>1512.8810000000001</v>
      </c>
      <c r="H79" s="17"/>
    </row>
    <row r="80" spans="2:8" x14ac:dyDescent="0.15">
      <c r="B80" s="8" t="s">
        <v>343</v>
      </c>
      <c r="D80" s="214">
        <v>118.863</v>
      </c>
      <c r="E80" s="214">
        <v>113.652</v>
      </c>
      <c r="F80" s="214">
        <v>115.236</v>
      </c>
      <c r="G80" s="214">
        <v>155.91</v>
      </c>
    </row>
    <row r="81" spans="2:8" x14ac:dyDescent="0.15">
      <c r="B81" s="8" t="s">
        <v>344</v>
      </c>
      <c r="D81" s="214">
        <v>100.509</v>
      </c>
      <c r="E81" s="214">
        <v>182.24799999999999</v>
      </c>
      <c r="F81" s="214">
        <v>223.46100000000001</v>
      </c>
      <c r="G81" s="214">
        <v>66.433999999999997</v>
      </c>
    </row>
    <row r="82" spans="2:8" x14ac:dyDescent="0.15">
      <c r="B82" s="8" t="s">
        <v>69</v>
      </c>
      <c r="D82" s="214">
        <v>1832.8320000000001</v>
      </c>
      <c r="E82" s="214">
        <v>1982.385</v>
      </c>
      <c r="F82" s="214">
        <v>2581.9169999999999</v>
      </c>
      <c r="G82" s="214">
        <v>2399.4290000000001</v>
      </c>
    </row>
    <row r="83" spans="2:8" x14ac:dyDescent="0.15">
      <c r="B83" s="8" t="s">
        <v>345</v>
      </c>
      <c r="D83" s="214">
        <v>7.7030000000000003</v>
      </c>
      <c r="E83" s="214">
        <v>81.498999999999995</v>
      </c>
      <c r="F83" s="214">
        <v>111.54300000000001</v>
      </c>
      <c r="G83" s="214">
        <v>6.234</v>
      </c>
    </row>
    <row r="84" spans="2:8" x14ac:dyDescent="0.15">
      <c r="B84" s="22" t="s">
        <v>346</v>
      </c>
      <c r="D84" s="215">
        <v>2551.7060000000001</v>
      </c>
      <c r="E84" s="215">
        <v>2807.0990000000002</v>
      </c>
      <c r="F84" s="215">
        <v>4109.1379999999999</v>
      </c>
      <c r="G84" s="215">
        <v>4140.8879999999999</v>
      </c>
    </row>
    <row r="85" spans="2:8" x14ac:dyDescent="0.15">
      <c r="B85" s="22" t="s">
        <v>74</v>
      </c>
      <c r="D85" s="215">
        <v>6215.8040000000001</v>
      </c>
      <c r="E85" s="215">
        <v>6569.7510000000002</v>
      </c>
      <c r="F85" s="215">
        <v>8849.0069999999996</v>
      </c>
      <c r="G85" s="215">
        <v>9255.3289999999997</v>
      </c>
    </row>
    <row r="86" spans="2:8" x14ac:dyDescent="0.15">
      <c r="B86" s="22" t="s">
        <v>347</v>
      </c>
      <c r="D86" s="215">
        <v>7503.433</v>
      </c>
      <c r="E86" s="215">
        <v>8027.6009999999997</v>
      </c>
      <c r="F86" s="215">
        <v>10873.014999999999</v>
      </c>
      <c r="G86" s="215">
        <v>11538.205</v>
      </c>
    </row>
    <row r="87" spans="2:8" x14ac:dyDescent="0.15">
      <c r="B87" s="8" t="s">
        <v>348</v>
      </c>
      <c r="D87" s="214">
        <v>7503.433</v>
      </c>
      <c r="E87" s="214">
        <v>8027.6009999999997</v>
      </c>
      <c r="F87" s="214">
        <v>10873.014999999999</v>
      </c>
      <c r="G87" s="214">
        <v>11538.205</v>
      </c>
    </row>
    <row r="88" spans="2:8" x14ac:dyDescent="0.15">
      <c r="B88" s="8" t="s">
        <v>349</v>
      </c>
      <c r="D88" s="214">
        <v>1287.6289999999999</v>
      </c>
      <c r="E88" s="214">
        <v>1457.85</v>
      </c>
      <c r="F88" s="214">
        <v>2024.008</v>
      </c>
      <c r="G88" s="214">
        <v>2282.8760000000002</v>
      </c>
    </row>
    <row r="90" spans="2:8" ht="18" customHeight="1" x14ac:dyDescent="0.15">
      <c r="B90" s="5" t="s">
        <v>350</v>
      </c>
      <c r="C90" s="6"/>
      <c r="D90" s="6"/>
      <c r="E90" s="6"/>
      <c r="F90" s="6"/>
      <c r="G90" s="6"/>
      <c r="H90" s="6"/>
    </row>
    <row r="91" spans="2:8" x14ac:dyDescent="0.15">
      <c r="B91" s="17"/>
    </row>
    <row r="92" spans="2:8" x14ac:dyDescent="0.15">
      <c r="B92" s="18" t="s">
        <v>80</v>
      </c>
    </row>
    <row r="93" spans="2:8" x14ac:dyDescent="0.15">
      <c r="B93" s="8" t="s">
        <v>42</v>
      </c>
      <c r="D93" s="214">
        <v>399.84399999999999</v>
      </c>
      <c r="E93" s="214">
        <v>481.94200000000001</v>
      </c>
      <c r="F93" s="214">
        <v>927.30100000000004</v>
      </c>
      <c r="G93" s="214">
        <v>932.91</v>
      </c>
      <c r="H93" s="17"/>
    </row>
    <row r="94" spans="2:8" x14ac:dyDescent="0.15">
      <c r="B94" s="8" t="s">
        <v>310</v>
      </c>
      <c r="D94" s="214">
        <v>586.096</v>
      </c>
      <c r="E94" s="214">
        <v>540.42100000000005</v>
      </c>
      <c r="F94" s="214">
        <v>674.07600000000002</v>
      </c>
      <c r="G94" s="214">
        <v>760.64400000000001</v>
      </c>
    </row>
    <row r="95" spans="2:8" x14ac:dyDescent="0.15">
      <c r="B95" s="8" t="s">
        <v>351</v>
      </c>
      <c r="D95" s="214">
        <v>209.97300000000001</v>
      </c>
      <c r="E95" s="214">
        <v>242.935</v>
      </c>
      <c r="F95" s="214">
        <v>294.142</v>
      </c>
      <c r="G95" s="214">
        <v>254.94</v>
      </c>
    </row>
    <row r="96" spans="2:8" x14ac:dyDescent="0.15">
      <c r="B96" s="8" t="s">
        <v>352</v>
      </c>
      <c r="D96" s="214">
        <v>0</v>
      </c>
      <c r="E96" s="214">
        <v>3.9849999999999999</v>
      </c>
      <c r="F96" s="214">
        <v>0.48199999999999998</v>
      </c>
      <c r="G96" s="214">
        <v>1.758</v>
      </c>
    </row>
    <row r="97" spans="2:8" x14ac:dyDescent="0.15">
      <c r="B97" s="8" t="s">
        <v>353</v>
      </c>
      <c r="D97" s="214">
        <v>32.209000000000003</v>
      </c>
      <c r="E97" s="214">
        <v>0</v>
      </c>
      <c r="F97" s="214">
        <v>9.56</v>
      </c>
      <c r="G97" s="214">
        <v>-7.5590000000000002</v>
      </c>
    </row>
    <row r="98" spans="2:8" x14ac:dyDescent="0.15">
      <c r="B98" s="8" t="s">
        <v>354</v>
      </c>
      <c r="D98" s="214">
        <v>7.0519999999999996</v>
      </c>
      <c r="E98" s="214">
        <v>98.846000000000004</v>
      </c>
      <c r="F98" s="214">
        <v>56.061999999999998</v>
      </c>
      <c r="G98" s="214">
        <v>-193.71199999999999</v>
      </c>
    </row>
    <row r="99" spans="2:8" x14ac:dyDescent="0.15">
      <c r="B99" s="8" t="s">
        <v>355</v>
      </c>
      <c r="D99" s="214">
        <v>-15.115</v>
      </c>
      <c r="E99" s="214">
        <v>12.673999999999999</v>
      </c>
      <c r="F99" s="214">
        <v>-20.262</v>
      </c>
      <c r="G99" s="214">
        <v>-7.1280000000000001</v>
      </c>
    </row>
    <row r="100" spans="2:8" x14ac:dyDescent="0.15">
      <c r="B100" s="8" t="s">
        <v>356</v>
      </c>
      <c r="D100" s="214">
        <v>-127.84099999999999</v>
      </c>
      <c r="E100" s="214">
        <v>-19.751999999999999</v>
      </c>
      <c r="F100" s="214">
        <v>-35.494999999999997</v>
      </c>
      <c r="G100" s="214">
        <v>0.753</v>
      </c>
    </row>
    <row r="101" spans="2:8" x14ac:dyDescent="0.15">
      <c r="B101" s="8" t="s">
        <v>357</v>
      </c>
      <c r="D101" s="214">
        <v>-3.085</v>
      </c>
      <c r="E101" s="214">
        <v>-40.502000000000002</v>
      </c>
      <c r="F101" s="214">
        <v>-8.1809999999999992</v>
      </c>
      <c r="G101" s="214">
        <v>-14.492000000000001</v>
      </c>
    </row>
    <row r="102" spans="2:8" x14ac:dyDescent="0.15">
      <c r="B102" s="8" t="s">
        <v>358</v>
      </c>
      <c r="D102" s="214">
        <v>-16.536000000000001</v>
      </c>
      <c r="E102" s="214">
        <v>23.311</v>
      </c>
      <c r="F102" s="214">
        <v>32.061999999999998</v>
      </c>
      <c r="G102" s="214">
        <v>-85.088999999999999</v>
      </c>
    </row>
    <row r="103" spans="2:8" x14ac:dyDescent="0.15">
      <c r="B103" s="8" t="s">
        <v>359</v>
      </c>
      <c r="D103" s="214">
        <v>-1.508</v>
      </c>
      <c r="E103" s="214">
        <v>158.512</v>
      </c>
      <c r="F103" s="214">
        <v>81.820999999999998</v>
      </c>
      <c r="G103" s="214">
        <v>-82.034000000000006</v>
      </c>
    </row>
    <row r="104" spans="2:8" x14ac:dyDescent="0.15">
      <c r="B104" s="8" t="s">
        <v>360</v>
      </c>
      <c r="D104" s="214">
        <v>-4.9950000000000001</v>
      </c>
      <c r="E104" s="214">
        <v>0.70199999999999996</v>
      </c>
      <c r="F104" s="214">
        <v>-49.628999999999998</v>
      </c>
      <c r="G104" s="214">
        <v>-19.683</v>
      </c>
    </row>
    <row r="105" spans="2:8" x14ac:dyDescent="0.15">
      <c r="B105" s="8" t="s">
        <v>83</v>
      </c>
      <c r="D105" s="214">
        <v>-97.881</v>
      </c>
      <c r="E105" s="214">
        <v>-83.644000000000005</v>
      </c>
      <c r="F105" s="214">
        <v>-283.52300000000002</v>
      </c>
      <c r="G105" s="214">
        <v>-355.23700000000002</v>
      </c>
    </row>
    <row r="106" spans="2:8" x14ac:dyDescent="0.15">
      <c r="B106" s="8" t="s">
        <v>361</v>
      </c>
      <c r="D106" s="214">
        <v>-140.964</v>
      </c>
      <c r="E106" s="214">
        <v>-74.730999999999995</v>
      </c>
      <c r="F106" s="214">
        <v>-152.876</v>
      </c>
      <c r="G106" s="214">
        <v>150.29599999999999</v>
      </c>
    </row>
    <row r="107" spans="2:8" x14ac:dyDescent="0.15">
      <c r="B107" s="8" t="s">
        <v>362</v>
      </c>
      <c r="D107" s="214">
        <v>-135.34100000000001</v>
      </c>
      <c r="E107" s="214">
        <v>64.522000000000006</v>
      </c>
      <c r="F107" s="214">
        <v>-56.24</v>
      </c>
      <c r="G107" s="214">
        <v>-62.521999999999998</v>
      </c>
    </row>
    <row r="108" spans="2:8" x14ac:dyDescent="0.15">
      <c r="B108" s="8" t="s">
        <v>363</v>
      </c>
      <c r="D108" s="214">
        <v>230.86500000000001</v>
      </c>
      <c r="E108" s="214">
        <v>75.429000000000002</v>
      </c>
      <c r="F108" s="214">
        <v>206.786</v>
      </c>
      <c r="G108" s="214">
        <v>-56.991999999999997</v>
      </c>
    </row>
    <row r="109" spans="2:8" x14ac:dyDescent="0.15">
      <c r="B109" s="22" t="s">
        <v>364</v>
      </c>
      <c r="D109" s="215">
        <v>922.77300000000002</v>
      </c>
      <c r="E109" s="215">
        <v>1484.65</v>
      </c>
      <c r="F109" s="215">
        <v>1676.086</v>
      </c>
      <c r="G109" s="215">
        <v>1216.8530000000001</v>
      </c>
    </row>
    <row r="111" spans="2:8" x14ac:dyDescent="0.15">
      <c r="B111" s="18" t="s">
        <v>88</v>
      </c>
    </row>
    <row r="112" spans="2:8" x14ac:dyDescent="0.15">
      <c r="B112" s="8" t="s">
        <v>365</v>
      </c>
      <c r="D112" s="214">
        <v>-413.68299999999999</v>
      </c>
      <c r="E112" s="214">
        <v>-417.08300000000003</v>
      </c>
      <c r="F112" s="214">
        <v>-824.64700000000005</v>
      </c>
      <c r="G112" s="214">
        <v>-1224.4559999999999</v>
      </c>
      <c r="H112" s="17" t="s">
        <v>292</v>
      </c>
    </row>
    <row r="113" spans="2:8" x14ac:dyDescent="0.15">
      <c r="B113" s="8" t="s">
        <v>366</v>
      </c>
      <c r="D113" s="214">
        <v>31.446999999999999</v>
      </c>
      <c r="E113" s="214">
        <v>7.34</v>
      </c>
      <c r="F113" s="214">
        <v>31.888000000000002</v>
      </c>
      <c r="G113" s="214">
        <v>35.244</v>
      </c>
    </row>
    <row r="114" spans="2:8" x14ac:dyDescent="0.15">
      <c r="B114" s="8" t="s">
        <v>367</v>
      </c>
      <c r="D114" s="214">
        <v>0</v>
      </c>
      <c r="E114" s="214">
        <v>119.02500000000001</v>
      </c>
    </row>
    <row r="115" spans="2:8" x14ac:dyDescent="0.15">
      <c r="B115" s="8" t="s">
        <v>368</v>
      </c>
      <c r="D115" s="214">
        <v>0</v>
      </c>
      <c r="E115" s="214">
        <v>-22.677</v>
      </c>
      <c r="F115" s="214">
        <v>-1438.403</v>
      </c>
      <c r="G115" s="214">
        <v>-625.726</v>
      </c>
    </row>
    <row r="116" spans="2:8" x14ac:dyDescent="0.15">
      <c r="B116" s="8" t="s">
        <v>369</v>
      </c>
      <c r="D116" s="214">
        <v>0</v>
      </c>
      <c r="E116" s="214">
        <v>-40.423999999999999</v>
      </c>
      <c r="F116" s="214">
        <v>-115</v>
      </c>
      <c r="G116" s="214">
        <v>-1</v>
      </c>
    </row>
    <row r="117" spans="2:8" x14ac:dyDescent="0.15">
      <c r="B117" s="8" t="s">
        <v>370</v>
      </c>
      <c r="D117" s="214">
        <v>0</v>
      </c>
      <c r="E117" s="214">
        <v>-38.082999999999998</v>
      </c>
    </row>
    <row r="118" spans="2:8" x14ac:dyDescent="0.15">
      <c r="B118" s="8" t="s">
        <v>93</v>
      </c>
      <c r="D118" s="214">
        <v>4.7E-2</v>
      </c>
      <c r="E118" s="214">
        <v>0.21099999999999999</v>
      </c>
      <c r="F118" s="214">
        <v>10.144</v>
      </c>
      <c r="G118" s="214">
        <v>6.1050000000000004</v>
      </c>
      <c r="H118" s="17"/>
    </row>
    <row r="119" spans="2:8" x14ac:dyDescent="0.15">
      <c r="B119" s="8" t="s">
        <v>371</v>
      </c>
      <c r="D119" s="214">
        <v>0</v>
      </c>
      <c r="E119" s="214">
        <v>-4.87</v>
      </c>
      <c r="F119" s="214">
        <v>-1.2</v>
      </c>
      <c r="G119" s="214">
        <v>-76.388000000000005</v>
      </c>
    </row>
    <row r="120" spans="2:8" x14ac:dyDescent="0.15">
      <c r="B120" s="8" t="s">
        <v>372</v>
      </c>
      <c r="D120" s="214">
        <v>0</v>
      </c>
      <c r="E120" s="214">
        <v>0.5</v>
      </c>
      <c r="F120" s="214">
        <v>0</v>
      </c>
      <c r="G120" s="214">
        <v>14.087999999999999</v>
      </c>
    </row>
    <row r="121" spans="2:8" x14ac:dyDescent="0.15">
      <c r="B121" s="8" t="s">
        <v>94</v>
      </c>
      <c r="E121" s="214">
        <v>0</v>
      </c>
      <c r="F121" s="214">
        <v>1.4</v>
      </c>
      <c r="G121" s="214">
        <v>0</v>
      </c>
    </row>
    <row r="122" spans="2:8" x14ac:dyDescent="0.15">
      <c r="B122" s="22" t="s">
        <v>373</v>
      </c>
      <c r="D122" s="215">
        <v>-382.18900000000002</v>
      </c>
      <c r="E122" s="215">
        <v>-396.06099999999998</v>
      </c>
      <c r="F122" s="215">
        <v>-2335.8180000000002</v>
      </c>
      <c r="G122" s="215">
        <v>-1872.133</v>
      </c>
    </row>
    <row r="124" spans="2:8" x14ac:dyDescent="0.15">
      <c r="B124" s="18" t="s">
        <v>96</v>
      </c>
    </row>
    <row r="125" spans="2:8" x14ac:dyDescent="0.15">
      <c r="B125" s="8" t="s">
        <v>97</v>
      </c>
      <c r="D125" s="214">
        <v>-143.45099999999999</v>
      </c>
      <c r="E125" s="214">
        <v>-137.34299999999999</v>
      </c>
      <c r="F125" s="214">
        <v>-147.215</v>
      </c>
      <c r="G125" s="214">
        <v>-148.43299999999999</v>
      </c>
      <c r="H125" s="17" t="s">
        <v>292</v>
      </c>
    </row>
    <row r="126" spans="2:8" x14ac:dyDescent="0.15">
      <c r="B126" s="8" t="s">
        <v>374</v>
      </c>
      <c r="D126" s="214">
        <v>400.91500000000002</v>
      </c>
      <c r="E126" s="214">
        <v>285.80700000000002</v>
      </c>
      <c r="F126" s="214">
        <v>1599.0050000000001</v>
      </c>
      <c r="G126" s="214">
        <v>1305.576</v>
      </c>
    </row>
    <row r="127" spans="2:8" x14ac:dyDescent="0.15">
      <c r="B127" s="8" t="s">
        <v>375</v>
      </c>
      <c r="D127" s="214">
        <v>-214.66300000000001</v>
      </c>
      <c r="E127" s="214">
        <v>-294.86799999999999</v>
      </c>
      <c r="F127" s="214">
        <v>-317.80900000000003</v>
      </c>
      <c r="G127" s="214">
        <v>-508.67200000000003</v>
      </c>
    </row>
    <row r="128" spans="2:8" x14ac:dyDescent="0.15">
      <c r="B128" s="8" t="s">
        <v>376</v>
      </c>
      <c r="D128" s="214">
        <v>-253.012</v>
      </c>
      <c r="E128" s="214">
        <v>-286.601</v>
      </c>
      <c r="F128" s="214">
        <v>-449.83</v>
      </c>
      <c r="G128" s="214">
        <v>-274.83999999999997</v>
      </c>
    </row>
    <row r="129" spans="2:8" x14ac:dyDescent="0.15">
      <c r="B129" s="8" t="s">
        <v>377</v>
      </c>
      <c r="D129" s="214">
        <v>-207.17699999999999</v>
      </c>
      <c r="E129" s="214">
        <v>-240.52799999999999</v>
      </c>
      <c r="F129" s="214">
        <v>-293.666</v>
      </c>
      <c r="G129" s="214">
        <v>-259.971</v>
      </c>
      <c r="H129" s="17"/>
    </row>
    <row r="130" spans="2:8" x14ac:dyDescent="0.15">
      <c r="B130" s="8" t="s">
        <v>378</v>
      </c>
      <c r="D130" s="214">
        <v>1.2190000000000001</v>
      </c>
      <c r="E130" s="214">
        <v>19.751999999999999</v>
      </c>
      <c r="F130" s="214">
        <v>35.494999999999997</v>
      </c>
      <c r="G130" s="214">
        <v>-0.753</v>
      </c>
    </row>
    <row r="131" spans="2:8" x14ac:dyDescent="0.15">
      <c r="B131" s="8" t="s">
        <v>379</v>
      </c>
      <c r="D131" s="214">
        <v>126.622</v>
      </c>
      <c r="E131" s="214">
        <v>0</v>
      </c>
    </row>
    <row r="132" spans="2:8" x14ac:dyDescent="0.15">
      <c r="B132" s="8" t="s">
        <v>380</v>
      </c>
      <c r="D132" s="214">
        <v>2.6429999999999998</v>
      </c>
      <c r="E132" s="214">
        <v>0</v>
      </c>
    </row>
    <row r="133" spans="2:8" x14ac:dyDescent="0.15">
      <c r="B133" s="8" t="s">
        <v>381</v>
      </c>
      <c r="D133" s="214">
        <v>-7.4820000000000002</v>
      </c>
      <c r="E133" s="214">
        <v>0</v>
      </c>
    </row>
    <row r="134" spans="2:8" x14ac:dyDescent="0.15">
      <c r="B134" s="8" t="s">
        <v>382</v>
      </c>
      <c r="F134" s="214">
        <v>392</v>
      </c>
      <c r="G134" s="214">
        <v>0</v>
      </c>
    </row>
    <row r="135" spans="2:8" x14ac:dyDescent="0.15">
      <c r="B135" s="8" t="s">
        <v>102</v>
      </c>
      <c r="D135" s="214">
        <v>-1.9379999999999999</v>
      </c>
      <c r="E135" s="214">
        <v>-2.5099999999999998</v>
      </c>
      <c r="F135" s="214">
        <v>-8.3239999999999998</v>
      </c>
      <c r="G135" s="214">
        <v>-33.749000000000002</v>
      </c>
    </row>
    <row r="136" spans="2:8" x14ac:dyDescent="0.15">
      <c r="B136" s="22" t="s">
        <v>383</v>
      </c>
      <c r="D136" s="215">
        <v>-296.32400000000001</v>
      </c>
      <c r="E136" s="215">
        <v>-656.29100000000005</v>
      </c>
      <c r="F136" s="215">
        <v>809.65599999999995</v>
      </c>
      <c r="G136" s="215">
        <v>79.158000000000001</v>
      </c>
    </row>
    <row r="138" spans="2:8" x14ac:dyDescent="0.15">
      <c r="B138" s="18" t="s">
        <v>384</v>
      </c>
    </row>
    <row r="139" spans="2:8" x14ac:dyDescent="0.15">
      <c r="B139" s="22" t="s">
        <v>385</v>
      </c>
      <c r="D139" s="215">
        <v>244.26</v>
      </c>
      <c r="E139" s="215">
        <v>432.298</v>
      </c>
      <c r="F139" s="215">
        <v>149.92400000000001</v>
      </c>
      <c r="G139" s="215">
        <v>-576.12199999999996</v>
      </c>
    </row>
    <row r="140" spans="2:8" x14ac:dyDescent="0.15">
      <c r="B140" s="8" t="s">
        <v>105</v>
      </c>
      <c r="D140" s="214">
        <v>-9.3350000000000009</v>
      </c>
      <c r="E140" s="214">
        <v>12.359</v>
      </c>
      <c r="F140" s="214">
        <v>8.9760000000000009</v>
      </c>
      <c r="G140" s="214">
        <v>-19.158999999999999</v>
      </c>
    </row>
    <row r="141" spans="2:8" x14ac:dyDescent="0.15">
      <c r="B141" s="8" t="s">
        <v>106</v>
      </c>
      <c r="D141" s="214">
        <v>391.517</v>
      </c>
      <c r="E141" s="214">
        <v>626.44200000000001</v>
      </c>
      <c r="F141" s="214">
        <v>1071.0989999999999</v>
      </c>
      <c r="G141" s="214">
        <v>1229.999</v>
      </c>
      <c r="H141" s="17"/>
    </row>
    <row r="142" spans="2:8" x14ac:dyDescent="0.15">
      <c r="B142" s="22" t="s">
        <v>107</v>
      </c>
      <c r="D142" s="215">
        <v>626.44200000000001</v>
      </c>
      <c r="E142" s="215">
        <v>1071.0989999999999</v>
      </c>
      <c r="F142" s="215">
        <v>1229.999</v>
      </c>
      <c r="G142" s="215">
        <v>634.71799999999996</v>
      </c>
    </row>
    <row r="143" spans="2:8" x14ac:dyDescent="0.15">
      <c r="B143" s="8" t="s">
        <v>386</v>
      </c>
      <c r="D143" s="214">
        <v>922.77300000000002</v>
      </c>
      <c r="E143" s="214">
        <v>1484.65</v>
      </c>
      <c r="F143" s="214">
        <v>1676.086</v>
      </c>
      <c r="G143" s="214">
        <v>1216.8530000000001</v>
      </c>
    </row>
    <row r="144" spans="2:8" x14ac:dyDescent="0.15">
      <c r="B144" s="8" t="s">
        <v>387</v>
      </c>
      <c r="D144" s="214">
        <v>-382.18900000000002</v>
      </c>
      <c r="E144" s="214">
        <v>-396.06099999999998</v>
      </c>
      <c r="F144" s="214">
        <v>-2335.8180000000002</v>
      </c>
      <c r="G144" s="214">
        <v>-1872.133</v>
      </c>
    </row>
    <row r="145" spans="2:8" x14ac:dyDescent="0.15">
      <c r="B145" s="8" t="s">
        <v>388</v>
      </c>
      <c r="D145" s="214">
        <v>-296.32400000000001</v>
      </c>
      <c r="E145" s="214">
        <v>-656.29100000000005</v>
      </c>
      <c r="F145" s="214">
        <v>809.65599999999995</v>
      </c>
      <c r="G145" s="214">
        <v>79.158000000000001</v>
      </c>
    </row>
    <row r="147" spans="2:8" ht="18" customHeight="1" x14ac:dyDescent="0.15">
      <c r="B147" s="5" t="s">
        <v>389</v>
      </c>
      <c r="C147" s="6"/>
      <c r="D147" s="6"/>
      <c r="E147" s="6"/>
      <c r="F147" s="6"/>
      <c r="G147" s="6"/>
      <c r="H147" s="6"/>
    </row>
    <row r="148" spans="2:8" x14ac:dyDescent="0.15">
      <c r="B148" s="18" t="s">
        <v>390</v>
      </c>
    </row>
    <row r="149" spans="2:8" x14ac:dyDescent="0.15">
      <c r="B149" s="8" t="s">
        <v>10</v>
      </c>
      <c r="D149" s="214">
        <v>5735.8540000000003</v>
      </c>
      <c r="E149" s="214">
        <v>6314.7070000000003</v>
      </c>
      <c r="F149" s="214">
        <v>7015.5969999999998</v>
      </c>
      <c r="G149" s="214">
        <v>6542.5219999999999</v>
      </c>
      <c r="H149" s="17" t="s">
        <v>391</v>
      </c>
    </row>
    <row r="150" spans="2:8" x14ac:dyDescent="0.15">
      <c r="B150" s="8" t="s">
        <v>11</v>
      </c>
      <c r="D150" s="214">
        <v>1413.4829999999999</v>
      </c>
      <c r="E150" s="214">
        <v>1514.8920000000001</v>
      </c>
      <c r="F150" s="214">
        <v>1683.172</v>
      </c>
      <c r="G150" s="214">
        <v>1652.173</v>
      </c>
    </row>
    <row r="151" spans="2:8" x14ac:dyDescent="0.15">
      <c r="B151" s="8" t="s">
        <v>12</v>
      </c>
      <c r="D151" s="214">
        <v>876.84799999999996</v>
      </c>
      <c r="E151" s="214">
        <v>1026.9179999999999</v>
      </c>
      <c r="F151" s="214">
        <v>1230.5329999999999</v>
      </c>
      <c r="G151" s="214">
        <v>1420.817</v>
      </c>
    </row>
    <row r="152" spans="2:8" x14ac:dyDescent="0.15">
      <c r="B152" s="8" t="s">
        <v>13</v>
      </c>
      <c r="D152" s="214">
        <v>0</v>
      </c>
      <c r="E152" s="214">
        <v>0</v>
      </c>
      <c r="F152" s="214">
        <v>1400.375</v>
      </c>
      <c r="G152" s="214">
        <v>1479.289</v>
      </c>
    </row>
    <row r="153" spans="2:8" x14ac:dyDescent="0.15">
      <c r="B153" s="8" t="s">
        <v>14</v>
      </c>
      <c r="D153" s="214">
        <v>-150.90100000000001</v>
      </c>
      <c r="E153" s="214">
        <v>-166.41399999999999</v>
      </c>
      <c r="F153" s="214">
        <v>-247.72399999999999</v>
      </c>
      <c r="G153" s="214">
        <v>-340.47300000000001</v>
      </c>
      <c r="H153" s="17"/>
    </row>
    <row r="154" spans="2:8" x14ac:dyDescent="0.15">
      <c r="B154" s="22" t="s">
        <v>392</v>
      </c>
      <c r="D154" s="215">
        <v>7875.2839999999997</v>
      </c>
      <c r="E154" s="215">
        <v>8690.1029999999992</v>
      </c>
      <c r="F154" s="215">
        <v>11081.953</v>
      </c>
      <c r="G154" s="215">
        <v>10754.328</v>
      </c>
    </row>
    <row r="155" spans="2:8" x14ac:dyDescent="0.15">
      <c r="B155" s="18" t="s">
        <v>393</v>
      </c>
    </row>
    <row r="156" spans="2:8" x14ac:dyDescent="0.15">
      <c r="B156" s="8" t="s">
        <v>10</v>
      </c>
      <c r="D156" s="214">
        <v>94.673000000000002</v>
      </c>
      <c r="E156" s="214">
        <v>105.343</v>
      </c>
      <c r="F156" s="214">
        <v>168.101</v>
      </c>
      <c r="G156" s="214">
        <v>207.94300000000001</v>
      </c>
    </row>
    <row r="157" spans="2:8" x14ac:dyDescent="0.15">
      <c r="B157" s="8" t="s">
        <v>11</v>
      </c>
      <c r="D157" s="214">
        <v>3.198</v>
      </c>
      <c r="E157" s="214">
        <v>1.796</v>
      </c>
      <c r="F157" s="214">
        <v>1.863</v>
      </c>
      <c r="G157" s="214">
        <v>1.41</v>
      </c>
    </row>
    <row r="158" spans="2:8" x14ac:dyDescent="0.15">
      <c r="B158" s="8" t="s">
        <v>12</v>
      </c>
      <c r="D158" s="214">
        <v>53.03</v>
      </c>
      <c r="E158" s="214">
        <v>59.274999999999999</v>
      </c>
      <c r="F158" s="214">
        <v>73.305999999999997</v>
      </c>
      <c r="G158" s="214">
        <v>91.988</v>
      </c>
    </row>
    <row r="159" spans="2:8" x14ac:dyDescent="0.15">
      <c r="B159" s="8" t="s">
        <v>13</v>
      </c>
      <c r="D159" s="214">
        <v>0</v>
      </c>
      <c r="E159" s="214">
        <v>0</v>
      </c>
      <c r="F159" s="214">
        <v>4.4539999999999997</v>
      </c>
      <c r="G159" s="214">
        <v>39.131999999999998</v>
      </c>
    </row>
    <row r="160" spans="2:8" x14ac:dyDescent="0.15">
      <c r="B160" s="17"/>
    </row>
    <row r="161" spans="2:8" x14ac:dyDescent="0.15">
      <c r="B161" s="18" t="s">
        <v>298</v>
      </c>
    </row>
    <row r="162" spans="2:8" x14ac:dyDescent="0.15">
      <c r="B162" s="8" t="s">
        <v>10</v>
      </c>
      <c r="D162" s="214">
        <v>529.12099999999998</v>
      </c>
      <c r="E162" s="214">
        <v>625.06700000000001</v>
      </c>
      <c r="F162" s="214">
        <v>933.923</v>
      </c>
      <c r="G162" s="214">
        <v>954.23599999999999</v>
      </c>
    </row>
    <row r="163" spans="2:8" x14ac:dyDescent="0.15">
      <c r="B163" s="8" t="s">
        <v>11</v>
      </c>
      <c r="D163" s="214">
        <v>74.927999999999997</v>
      </c>
      <c r="E163" s="214">
        <v>117.782</v>
      </c>
      <c r="F163" s="214">
        <v>170.90600000000001</v>
      </c>
      <c r="G163" s="214">
        <v>153.72800000000001</v>
      </c>
    </row>
    <row r="164" spans="2:8" x14ac:dyDescent="0.15">
      <c r="B164" s="8" t="s">
        <v>12</v>
      </c>
      <c r="D164" s="214">
        <v>-121.40900000000001</v>
      </c>
      <c r="E164" s="214">
        <v>4.3540000000000001</v>
      </c>
      <c r="F164" s="214">
        <v>5.6319999999999997</v>
      </c>
      <c r="G164" s="214">
        <v>9.3640000000000008</v>
      </c>
    </row>
    <row r="165" spans="2:8" x14ac:dyDescent="0.15">
      <c r="B165" s="8" t="s">
        <v>13</v>
      </c>
      <c r="D165" s="214">
        <v>0</v>
      </c>
      <c r="E165" s="214">
        <v>0</v>
      </c>
      <c r="F165" s="214">
        <v>132.494</v>
      </c>
      <c r="G165" s="214">
        <v>47.256</v>
      </c>
    </row>
    <row r="166" spans="2:8" x14ac:dyDescent="0.15">
      <c r="B166" s="8" t="s">
        <v>394</v>
      </c>
      <c r="D166" s="214">
        <v>0</v>
      </c>
      <c r="E166" s="214">
        <v>0</v>
      </c>
      <c r="F166" s="214">
        <v>0.10100000000000001</v>
      </c>
      <c r="G166" s="214">
        <v>0</v>
      </c>
      <c r="H166" s="17"/>
    </row>
    <row r="167" spans="2:8" x14ac:dyDescent="0.15">
      <c r="B167" s="22" t="s">
        <v>395</v>
      </c>
      <c r="D167" s="215">
        <v>482.64</v>
      </c>
      <c r="E167" s="215">
        <v>747.20299999999997</v>
      </c>
      <c r="F167" s="215">
        <v>1243.056</v>
      </c>
      <c r="G167" s="215">
        <v>1164.5840000000001</v>
      </c>
    </row>
    <row r="168" spans="2:8" x14ac:dyDescent="0.15">
      <c r="B168" s="18" t="s">
        <v>310</v>
      </c>
    </row>
    <row r="169" spans="2:8" x14ac:dyDescent="0.15">
      <c r="B169" s="8" t="s">
        <v>10</v>
      </c>
      <c r="D169" s="214">
        <v>336.78899999999999</v>
      </c>
      <c r="E169" s="214">
        <v>308.78800000000001</v>
      </c>
      <c r="F169" s="214">
        <v>313.512</v>
      </c>
      <c r="G169" s="214">
        <v>403.08199999999999</v>
      </c>
    </row>
    <row r="170" spans="2:8" x14ac:dyDescent="0.15">
      <c r="B170" s="8" t="s">
        <v>11</v>
      </c>
      <c r="D170" s="214">
        <v>103.047</v>
      </c>
      <c r="E170" s="214">
        <v>86.593000000000004</v>
      </c>
      <c r="F170" s="214">
        <v>96.582999999999998</v>
      </c>
      <c r="G170" s="214">
        <v>103.291</v>
      </c>
    </row>
    <row r="171" spans="2:8" x14ac:dyDescent="0.15">
      <c r="B171" s="8" t="s">
        <v>12</v>
      </c>
      <c r="D171" s="214">
        <v>146.26</v>
      </c>
      <c r="E171" s="214">
        <v>145.04</v>
      </c>
      <c r="F171" s="214">
        <v>137.02699999999999</v>
      </c>
      <c r="G171" s="214">
        <v>130.65</v>
      </c>
    </row>
    <row r="172" spans="2:8" x14ac:dyDescent="0.15">
      <c r="B172" s="8" t="s">
        <v>13</v>
      </c>
      <c r="D172" s="214">
        <v>0</v>
      </c>
      <c r="E172" s="214">
        <v>0</v>
      </c>
      <c r="F172" s="214">
        <v>126.95399999999999</v>
      </c>
      <c r="G172" s="214">
        <v>123.621</v>
      </c>
    </row>
    <row r="173" spans="2:8" x14ac:dyDescent="0.15">
      <c r="B173" s="22" t="s">
        <v>396</v>
      </c>
      <c r="D173" s="215">
        <v>586.096</v>
      </c>
      <c r="E173" s="215">
        <v>540.42100000000005</v>
      </c>
      <c r="F173" s="215">
        <v>674.07600000000002</v>
      </c>
      <c r="G173" s="215">
        <v>760.64400000000001</v>
      </c>
    </row>
    <row r="174" spans="2:8" x14ac:dyDescent="0.15">
      <c r="B174" s="18" t="s">
        <v>397</v>
      </c>
    </row>
    <row r="175" spans="2:8" x14ac:dyDescent="0.15">
      <c r="B175" s="8" t="s">
        <v>10</v>
      </c>
      <c r="D175" s="214">
        <v>9.234</v>
      </c>
      <c r="E175" s="214">
        <v>4.1459999999999999</v>
      </c>
      <c r="F175" s="214">
        <v>-82.167000000000002</v>
      </c>
      <c r="G175" s="214">
        <v>-116.536</v>
      </c>
    </row>
    <row r="176" spans="2:8" x14ac:dyDescent="0.15">
      <c r="B176" s="8" t="s">
        <v>11</v>
      </c>
      <c r="D176" s="214">
        <v>3.7890000000000001</v>
      </c>
      <c r="E176" s="214">
        <v>0.34699999999999998</v>
      </c>
      <c r="F176" s="214">
        <v>0.38600000000000001</v>
      </c>
      <c r="G176" s="214">
        <v>-1.988</v>
      </c>
    </row>
    <row r="177" spans="2:8" x14ac:dyDescent="0.15">
      <c r="B177" s="8" t="s">
        <v>12</v>
      </c>
      <c r="D177" s="214">
        <v>28.672000000000001</v>
      </c>
      <c r="E177" s="214">
        <v>-38.713000000000001</v>
      </c>
      <c r="F177" s="214">
        <v>0.76200000000000001</v>
      </c>
      <c r="G177" s="214">
        <v>5.5309999999999997</v>
      </c>
    </row>
    <row r="178" spans="2:8" x14ac:dyDescent="0.15">
      <c r="B178" s="8" t="s">
        <v>13</v>
      </c>
      <c r="D178" s="214">
        <v>0</v>
      </c>
      <c r="E178" s="214">
        <v>0</v>
      </c>
      <c r="F178" s="214">
        <v>14.881</v>
      </c>
      <c r="G178" s="214">
        <v>4.2089999999999996</v>
      </c>
    </row>
    <row r="179" spans="2:8" x14ac:dyDescent="0.15">
      <c r="B179" s="22" t="s">
        <v>398</v>
      </c>
      <c r="D179" s="215">
        <v>41.695</v>
      </c>
      <c r="E179" s="215">
        <v>-34.22</v>
      </c>
      <c r="F179" s="215">
        <v>-66.138000000000005</v>
      </c>
      <c r="G179" s="215">
        <v>-108.78400000000001</v>
      </c>
    </row>
    <row r="180" spans="2:8" x14ac:dyDescent="0.15">
      <c r="B180" s="8" t="s">
        <v>399</v>
      </c>
      <c r="D180" s="214">
        <v>1110.431</v>
      </c>
      <c r="E180" s="214">
        <v>1253.404</v>
      </c>
      <c r="F180" s="214">
        <v>1850.9939999999999</v>
      </c>
      <c r="G180" s="214">
        <v>1816.444</v>
      </c>
      <c r="H180" s="17" t="s">
        <v>400</v>
      </c>
    </row>
    <row r="181" spans="2:8" x14ac:dyDescent="0.15">
      <c r="B181" s="17" t="s">
        <v>401</v>
      </c>
    </row>
    <row r="182" spans="2:8" x14ac:dyDescent="0.15">
      <c r="B182" s="8" t="s">
        <v>10</v>
      </c>
      <c r="D182" s="214">
        <v>344.3</v>
      </c>
      <c r="E182" s="214">
        <v>343.65800000000002</v>
      </c>
      <c r="F182" s="214">
        <v>539.49800000000005</v>
      </c>
      <c r="G182" s="214">
        <v>837.19500000000005</v>
      </c>
    </row>
    <row r="183" spans="2:8" x14ac:dyDescent="0.15">
      <c r="B183" s="8" t="s">
        <v>11</v>
      </c>
      <c r="D183" s="214">
        <v>86.113</v>
      </c>
      <c r="E183" s="214">
        <v>94.876999999999995</v>
      </c>
      <c r="F183" s="214">
        <v>144.25899999999999</v>
      </c>
      <c r="G183" s="214">
        <v>208.21700000000001</v>
      </c>
    </row>
    <row r="184" spans="2:8" x14ac:dyDescent="0.15">
      <c r="B184" s="8" t="s">
        <v>12</v>
      </c>
      <c r="D184" s="214">
        <v>79.951999999999998</v>
      </c>
      <c r="E184" s="214">
        <v>79.921000000000006</v>
      </c>
      <c r="F184" s="214">
        <v>220.511</v>
      </c>
      <c r="G184" s="214">
        <v>221.327</v>
      </c>
    </row>
    <row r="185" spans="2:8" x14ac:dyDescent="0.15">
      <c r="B185" s="8" t="s">
        <v>13</v>
      </c>
      <c r="D185" s="214">
        <v>0</v>
      </c>
      <c r="E185" s="214">
        <v>0</v>
      </c>
      <c r="F185" s="214">
        <v>127.929</v>
      </c>
      <c r="G185" s="214">
        <v>180.87299999999999</v>
      </c>
    </row>
    <row r="186" spans="2:8" x14ac:dyDescent="0.15">
      <c r="B186" s="22" t="s">
        <v>402</v>
      </c>
      <c r="D186" s="215">
        <v>510.36500000000001</v>
      </c>
      <c r="E186" s="215">
        <v>518.45600000000002</v>
      </c>
      <c r="F186" s="215">
        <v>1032.1969999999999</v>
      </c>
      <c r="G186" s="215">
        <v>1447.6120000000001</v>
      </c>
    </row>
    <row r="187" spans="2:8" x14ac:dyDescent="0.15">
      <c r="B187" s="17"/>
    </row>
    <row r="189" spans="2:8" ht="18" customHeight="1" x14ac:dyDescent="0.15">
      <c r="B189" s="5" t="s">
        <v>403</v>
      </c>
      <c r="C189" s="6"/>
      <c r="D189" s="6"/>
      <c r="E189" s="6"/>
      <c r="F189" s="6"/>
      <c r="G189" s="6"/>
      <c r="H189" s="6"/>
    </row>
    <row r="190" spans="2:8" x14ac:dyDescent="0.15">
      <c r="B190" s="17"/>
    </row>
    <row r="191" spans="2:8" x14ac:dyDescent="0.15">
      <c r="B191" s="18" t="s">
        <v>404</v>
      </c>
    </row>
    <row r="192" spans="2:8" x14ac:dyDescent="0.15">
      <c r="B192" s="8" t="s">
        <v>405</v>
      </c>
      <c r="D192" s="214">
        <v>2962.643</v>
      </c>
      <c r="E192" s="214">
        <v>3396.7220000000002</v>
      </c>
      <c r="F192" s="214">
        <v>3874.7020000000002</v>
      </c>
      <c r="G192" s="214">
        <v>3610.27</v>
      </c>
      <c r="H192" s="17" t="s">
        <v>670</v>
      </c>
    </row>
    <row r="193" spans="2:8" x14ac:dyDescent="0.15">
      <c r="B193" s="8" t="s">
        <v>406</v>
      </c>
      <c r="D193" s="214">
        <v>682.64099999999996</v>
      </c>
      <c r="E193" s="214">
        <v>707.39099999999996</v>
      </c>
      <c r="F193" s="214">
        <v>712.83699999999999</v>
      </c>
      <c r="G193" s="214">
        <v>507.89600000000002</v>
      </c>
    </row>
    <row r="194" spans="2:8" x14ac:dyDescent="0.15">
      <c r="B194" s="8" t="s">
        <v>407</v>
      </c>
      <c r="D194" s="214">
        <v>2639.373</v>
      </c>
      <c r="E194" s="214">
        <v>2831.107</v>
      </c>
      <c r="F194" s="214">
        <v>3107.4070000000002</v>
      </c>
      <c r="G194" s="214">
        <v>2946.7449999999999</v>
      </c>
    </row>
    <row r="195" spans="2:8" x14ac:dyDescent="0.15">
      <c r="B195" s="8" t="s">
        <v>408</v>
      </c>
      <c r="D195" s="214">
        <v>513.97299999999996</v>
      </c>
      <c r="E195" s="214">
        <v>543.56899999999996</v>
      </c>
      <c r="F195" s="214">
        <v>588.51800000000003</v>
      </c>
      <c r="G195" s="214">
        <v>461.76400000000001</v>
      </c>
    </row>
    <row r="196" spans="2:8" x14ac:dyDescent="0.15">
      <c r="B196" s="8" t="s">
        <v>409</v>
      </c>
      <c r="D196" s="214">
        <v>394.108</v>
      </c>
      <c r="E196" s="214">
        <v>481.63299999999998</v>
      </c>
      <c r="F196" s="214">
        <v>567.35299999999995</v>
      </c>
      <c r="G196" s="214">
        <v>669.55899999999997</v>
      </c>
    </row>
    <row r="197" spans="2:8" x14ac:dyDescent="0.15">
      <c r="B197" s="8" t="s">
        <v>410</v>
      </c>
      <c r="D197" s="214">
        <v>0</v>
      </c>
      <c r="E197" s="214">
        <v>0</v>
      </c>
      <c r="F197" s="214">
        <v>1187.5029999999999</v>
      </c>
      <c r="G197" s="214">
        <v>1430.684</v>
      </c>
    </row>
    <row r="198" spans="2:8" x14ac:dyDescent="0.15">
      <c r="B198" s="8" t="s">
        <v>411</v>
      </c>
      <c r="D198" s="214">
        <v>682.54600000000005</v>
      </c>
      <c r="E198" s="214">
        <v>729.68100000000004</v>
      </c>
      <c r="F198" s="214">
        <v>1043.633</v>
      </c>
      <c r="G198" s="214">
        <v>1127.4100000000001</v>
      </c>
    </row>
    <row r="199" spans="2:8" x14ac:dyDescent="0.15">
      <c r="B199" s="22" t="s">
        <v>412</v>
      </c>
      <c r="D199" s="215">
        <v>7875.2839999999997</v>
      </c>
      <c r="E199" s="215">
        <v>8690.1029999999992</v>
      </c>
      <c r="F199" s="215">
        <v>11081.953</v>
      </c>
      <c r="G199" s="215">
        <v>10754.328</v>
      </c>
    </row>
    <row r="200" spans="2:8" x14ac:dyDescent="0.15">
      <c r="B200" s="17"/>
    </row>
    <row r="201" spans="2:8" x14ac:dyDescent="0.15">
      <c r="B201" s="18" t="s">
        <v>413</v>
      </c>
    </row>
    <row r="202" spans="2:8" x14ac:dyDescent="0.15">
      <c r="B202" s="8" t="s">
        <v>414</v>
      </c>
      <c r="D202" s="214">
        <v>4430.8810000000003</v>
      </c>
      <c r="E202" s="214">
        <v>4897.6170000000002</v>
      </c>
      <c r="F202" s="214">
        <v>6177.6949999999997</v>
      </c>
      <c r="G202" s="214">
        <v>6175.6970000000001</v>
      </c>
      <c r="H202" s="17" t="s">
        <v>670</v>
      </c>
    </row>
    <row r="203" spans="2:8" x14ac:dyDescent="0.15">
      <c r="B203" s="8" t="s">
        <v>415</v>
      </c>
      <c r="D203" s="214">
        <v>1869.9349999999999</v>
      </c>
      <c r="E203" s="214">
        <v>2103.4540000000002</v>
      </c>
      <c r="F203" s="214">
        <v>2530.7959999999998</v>
      </c>
      <c r="G203" s="214">
        <v>2324.69</v>
      </c>
    </row>
    <row r="204" spans="2:8" x14ac:dyDescent="0.15">
      <c r="B204" s="8" t="s">
        <v>416</v>
      </c>
      <c r="D204" s="214">
        <v>878.221</v>
      </c>
      <c r="E204" s="214">
        <v>960.31600000000003</v>
      </c>
      <c r="F204" s="214">
        <v>1040.694</v>
      </c>
      <c r="G204" s="214">
        <v>1026.751</v>
      </c>
    </row>
    <row r="205" spans="2:8" x14ac:dyDescent="0.15">
      <c r="B205" s="8" t="s">
        <v>417</v>
      </c>
      <c r="D205" s="214">
        <v>417.03100000000001</v>
      </c>
      <c r="E205" s="214">
        <v>426.721</v>
      </c>
      <c r="F205" s="214">
        <v>499.94499999999999</v>
      </c>
      <c r="G205" s="214">
        <v>489.37</v>
      </c>
    </row>
    <row r="206" spans="2:8" x14ac:dyDescent="0.15">
      <c r="B206" s="8" t="s">
        <v>418</v>
      </c>
      <c r="D206" s="214">
        <v>88.078999999999994</v>
      </c>
      <c r="E206" s="214">
        <v>109.253</v>
      </c>
      <c r="F206" s="214">
        <v>357.74099999999999</v>
      </c>
      <c r="G206" s="214">
        <v>366.51</v>
      </c>
    </row>
    <row r="207" spans="2:8" x14ac:dyDescent="0.15">
      <c r="B207" s="8" t="s">
        <v>419</v>
      </c>
      <c r="D207" s="214">
        <v>191.137</v>
      </c>
      <c r="E207" s="214">
        <v>192.74199999999999</v>
      </c>
      <c r="F207" s="214">
        <v>475.08199999999999</v>
      </c>
      <c r="G207" s="214">
        <v>371.31</v>
      </c>
    </row>
    <row r="208" spans="2:8" x14ac:dyDescent="0.15">
      <c r="B208" s="22" t="s">
        <v>412</v>
      </c>
      <c r="D208" s="215">
        <v>7875.2839999999997</v>
      </c>
      <c r="E208" s="215">
        <v>8690.1029999999992</v>
      </c>
      <c r="F208" s="215">
        <v>11081.953</v>
      </c>
      <c r="G208" s="215">
        <v>10754.328</v>
      </c>
    </row>
    <row r="209" spans="2:8" x14ac:dyDescent="0.15">
      <c r="B209" s="17"/>
    </row>
    <row r="210" spans="2:8" x14ac:dyDescent="0.15">
      <c r="B210" s="18" t="s">
        <v>420</v>
      </c>
    </row>
    <row r="211" spans="2:8" x14ac:dyDescent="0.15">
      <c r="B211" s="8" t="s">
        <v>421</v>
      </c>
      <c r="D211" s="19">
        <v>0.191</v>
      </c>
      <c r="E211" s="19">
        <v>0.19700000000000001</v>
      </c>
      <c r="H211" s="17" t="s">
        <v>671</v>
      </c>
    </row>
    <row r="212" spans="2:8" x14ac:dyDescent="0.15">
      <c r="B212" s="8" t="s">
        <v>422</v>
      </c>
      <c r="D212" s="19">
        <v>0.28100000000000003</v>
      </c>
      <c r="E212" s="19">
        <v>0.26900000000000002</v>
      </c>
    </row>
    <row r="213" spans="2:8" x14ac:dyDescent="0.15">
      <c r="B213" s="8" t="s">
        <v>423</v>
      </c>
      <c r="D213" s="19">
        <v>0.29799999999999999</v>
      </c>
      <c r="E213" s="19">
        <v>0.29499999999999998</v>
      </c>
    </row>
    <row r="214" spans="2:8" x14ac:dyDescent="0.15">
      <c r="B214" s="8" t="s">
        <v>424</v>
      </c>
      <c r="D214" s="19">
        <v>0.23</v>
      </c>
      <c r="E214" s="19">
        <v>0.23799999999999999</v>
      </c>
    </row>
    <row r="216" spans="2:8" ht="18" customHeight="1" x14ac:dyDescent="0.15">
      <c r="B216" s="5" t="s">
        <v>425</v>
      </c>
      <c r="C216" s="6"/>
      <c r="D216" s="6"/>
      <c r="E216" s="6"/>
      <c r="F216" s="6"/>
      <c r="G216" s="6"/>
      <c r="H216" s="6"/>
    </row>
    <row r="217" spans="2:8" x14ac:dyDescent="0.15">
      <c r="B217" s="18" t="s">
        <v>426</v>
      </c>
    </row>
    <row r="218" spans="2:8" x14ac:dyDescent="0.15">
      <c r="B218" s="8" t="s">
        <v>310</v>
      </c>
      <c r="D218" s="214">
        <v>586.096</v>
      </c>
      <c r="E218" s="214">
        <v>540.42100000000005</v>
      </c>
      <c r="F218" s="214">
        <v>674.07500000000005</v>
      </c>
      <c r="G218" s="214">
        <v>760.64400000000001</v>
      </c>
      <c r="H218" s="17" t="s">
        <v>672</v>
      </c>
    </row>
    <row r="219" spans="2:8" x14ac:dyDescent="0.15">
      <c r="B219" s="8" t="s">
        <v>21</v>
      </c>
      <c r="D219" s="214">
        <v>1509.9110000000001</v>
      </c>
      <c r="E219" s="214">
        <v>1817.8510000000001</v>
      </c>
      <c r="F219" s="214">
        <v>2340.944</v>
      </c>
      <c r="G219" s="214">
        <v>2302.7359999999999</v>
      </c>
    </row>
    <row r="220" spans="2:8" x14ac:dyDescent="0.15">
      <c r="B220" s="8" t="s">
        <v>20</v>
      </c>
      <c r="D220" s="214">
        <v>3792.3470000000002</v>
      </c>
      <c r="E220" s="214">
        <v>3892.998</v>
      </c>
      <c r="F220" s="214">
        <v>4687.8509999999997</v>
      </c>
      <c r="G220" s="214">
        <v>4284.3209999999999</v>
      </c>
    </row>
    <row r="221" spans="2:8" x14ac:dyDescent="0.15">
      <c r="B221" s="8" t="s">
        <v>22</v>
      </c>
      <c r="D221" s="214">
        <v>1373.2239999999999</v>
      </c>
      <c r="E221" s="214">
        <v>1528.9770000000001</v>
      </c>
      <c r="F221" s="214">
        <v>2027.972</v>
      </c>
      <c r="G221" s="214">
        <v>2031.106</v>
      </c>
    </row>
    <row r="222" spans="2:8" x14ac:dyDescent="0.15">
      <c r="B222" s="8" t="s">
        <v>427</v>
      </c>
      <c r="D222" s="214">
        <v>94.317999999999998</v>
      </c>
      <c r="E222" s="214">
        <v>98.430999999999997</v>
      </c>
      <c r="F222" s="214">
        <v>113.718</v>
      </c>
      <c r="G222" s="214">
        <v>135.59800000000001</v>
      </c>
    </row>
    <row r="223" spans="2:8" x14ac:dyDescent="0.15">
      <c r="B223" s="8" t="s">
        <v>428</v>
      </c>
      <c r="D223" s="214">
        <v>80.950999999999993</v>
      </c>
      <c r="E223" s="214">
        <v>72.91</v>
      </c>
      <c r="F223" s="214">
        <v>102.42700000000001</v>
      </c>
      <c r="G223" s="214">
        <v>104.309</v>
      </c>
    </row>
    <row r="224" spans="2:8" x14ac:dyDescent="0.15">
      <c r="B224" s="8" t="s">
        <v>429</v>
      </c>
      <c r="D224" s="214">
        <v>18.04</v>
      </c>
      <c r="E224" s="214">
        <v>17.183</v>
      </c>
      <c r="F224" s="214">
        <v>26.088000000000001</v>
      </c>
      <c r="G224" s="214">
        <v>39.853999999999999</v>
      </c>
    </row>
    <row r="225" spans="2:8" x14ac:dyDescent="0.15">
      <c r="B225" s="8" t="s">
        <v>430</v>
      </c>
      <c r="D225" s="214">
        <v>0.79700000000000004</v>
      </c>
      <c r="E225" s="214">
        <v>7.8540000000000001</v>
      </c>
      <c r="F225" s="214">
        <v>5.5570000000000004</v>
      </c>
      <c r="G225" s="214">
        <v>-0.122</v>
      </c>
    </row>
    <row r="226" spans="2:8" x14ac:dyDescent="0.15">
      <c r="B226" s="8" t="s">
        <v>431</v>
      </c>
      <c r="D226" s="214">
        <v>-12.366</v>
      </c>
      <c r="E226" s="214">
        <v>12.802</v>
      </c>
      <c r="F226" s="214">
        <v>-0.62</v>
      </c>
      <c r="G226" s="214">
        <v>-2.6749999999999998</v>
      </c>
    </row>
    <row r="227" spans="2:8" x14ac:dyDescent="0.15">
      <c r="B227" s="8" t="s">
        <v>432</v>
      </c>
      <c r="D227" s="214">
        <v>-80.201999999999998</v>
      </c>
      <c r="E227" s="214">
        <v>4.1459999999999999</v>
      </c>
      <c r="F227" s="214">
        <v>-45.518999999999998</v>
      </c>
      <c r="G227" s="214">
        <v>-30.550999999999998</v>
      </c>
    </row>
    <row r="228" spans="2:8" x14ac:dyDescent="0.15">
      <c r="B228" s="8" t="s">
        <v>433</v>
      </c>
      <c r="D228" s="214">
        <v>5.6950000000000003</v>
      </c>
      <c r="E228" s="214">
        <v>9.9420000000000002</v>
      </c>
      <c r="F228" s="214">
        <v>11.513999999999999</v>
      </c>
      <c r="G228" s="214">
        <v>13.042999999999999</v>
      </c>
    </row>
    <row r="229" spans="2:8" x14ac:dyDescent="0.15">
      <c r="B229" s="22" t="s">
        <v>434</v>
      </c>
      <c r="D229" s="215">
        <v>7368.8109999999997</v>
      </c>
      <c r="E229" s="215">
        <v>8003.5150000000003</v>
      </c>
      <c r="F229" s="215">
        <v>9944.0069999999996</v>
      </c>
      <c r="G229" s="215">
        <v>9638.2630000000008</v>
      </c>
    </row>
    <row r="230" spans="2:8" x14ac:dyDescent="0.15">
      <c r="B230" s="8" t="s">
        <v>435</v>
      </c>
      <c r="D230" s="214">
        <v>-8.3109999999999999</v>
      </c>
      <c r="E230" s="214">
        <v>-6.0469999999999997</v>
      </c>
      <c r="F230" s="214">
        <v>0</v>
      </c>
      <c r="G230" s="214">
        <v>0</v>
      </c>
      <c r="H230" s="17" t="s">
        <v>673</v>
      </c>
    </row>
    <row r="231" spans="2:8" x14ac:dyDescent="0.15">
      <c r="B231" s="22" t="s">
        <v>436</v>
      </c>
      <c r="D231" s="215">
        <v>7360.5</v>
      </c>
      <c r="E231" s="215">
        <v>7997.4679999999998</v>
      </c>
      <c r="F231" s="215">
        <v>9944.0069999999996</v>
      </c>
      <c r="G231" s="215">
        <v>9638.2630000000008</v>
      </c>
    </row>
    <row r="232" spans="2:8" x14ac:dyDescent="0.15">
      <c r="B232" s="8" t="s">
        <v>437</v>
      </c>
      <c r="D232" s="214">
        <v>-1.5</v>
      </c>
      <c r="E232" s="214">
        <v>158.5</v>
      </c>
      <c r="F232" s="214">
        <v>81.820999999999998</v>
      </c>
      <c r="G232" s="214">
        <v>-82.033000000000001</v>
      </c>
      <c r="H232" s="17" t="s">
        <v>674</v>
      </c>
    </row>
    <row r="233" spans="2:8" x14ac:dyDescent="0.15">
      <c r="B233" s="17"/>
    </row>
    <row r="234" spans="2:8" x14ac:dyDescent="0.15">
      <c r="B234" s="18" t="s">
        <v>40</v>
      </c>
    </row>
    <row r="235" spans="2:8" x14ac:dyDescent="0.15">
      <c r="B235" s="8" t="s">
        <v>142</v>
      </c>
      <c r="D235" s="214">
        <v>197.81100000000001</v>
      </c>
      <c r="E235" s="214">
        <v>229.40600000000001</v>
      </c>
      <c r="F235" s="214">
        <v>282.45400000000001</v>
      </c>
      <c r="G235" s="214">
        <v>232.791</v>
      </c>
      <c r="H235" s="17" t="s">
        <v>675</v>
      </c>
    </row>
    <row r="236" spans="2:8" x14ac:dyDescent="0.15">
      <c r="B236" s="8" t="s">
        <v>147</v>
      </c>
      <c r="D236" s="214">
        <v>12.045999999999999</v>
      </c>
      <c r="E236" s="214">
        <v>13.590999999999999</v>
      </c>
      <c r="F236" s="214">
        <v>21.411999999999999</v>
      </c>
      <c r="G236" s="214">
        <v>27.18</v>
      </c>
    </row>
    <row r="237" spans="2:8" x14ac:dyDescent="0.15">
      <c r="B237" s="8" t="s">
        <v>438</v>
      </c>
      <c r="D237" s="214">
        <v>0.16300000000000001</v>
      </c>
      <c r="E237" s="214">
        <v>0.14899999999999999</v>
      </c>
      <c r="F237" s="214">
        <v>0</v>
      </c>
      <c r="G237" s="214">
        <v>0.126</v>
      </c>
    </row>
    <row r="238" spans="2:8" x14ac:dyDescent="0.15">
      <c r="B238" s="8" t="s">
        <v>439</v>
      </c>
      <c r="D238" s="214">
        <v>5.5339999999999998</v>
      </c>
      <c r="E238" s="214">
        <v>38.930999999999997</v>
      </c>
      <c r="F238" s="214">
        <v>35.613</v>
      </c>
      <c r="G238" s="214">
        <v>8.891</v>
      </c>
    </row>
    <row r="239" spans="2:8" x14ac:dyDescent="0.15">
      <c r="B239" s="8" t="s">
        <v>440</v>
      </c>
      <c r="D239" s="214">
        <v>10.355</v>
      </c>
      <c r="E239" s="214">
        <v>12.631</v>
      </c>
      <c r="F239" s="214">
        <v>20.853000000000002</v>
      </c>
      <c r="G239" s="214">
        <v>20.937999999999999</v>
      </c>
    </row>
    <row r="240" spans="2:8" x14ac:dyDescent="0.15">
      <c r="B240" s="8" t="s">
        <v>378</v>
      </c>
      <c r="D240" s="214">
        <v>14.897</v>
      </c>
      <c r="E240" s="214">
        <v>0</v>
      </c>
      <c r="F240" s="214">
        <v>0</v>
      </c>
      <c r="G240" s="214">
        <v>0.753</v>
      </c>
    </row>
    <row r="241" spans="2:8" x14ac:dyDescent="0.15">
      <c r="B241" s="8" t="s">
        <v>441</v>
      </c>
      <c r="D241" s="214">
        <v>0.27200000000000002</v>
      </c>
      <c r="E241" s="214">
        <v>0.82399999999999995</v>
      </c>
      <c r="F241" s="214">
        <v>1.1379999999999999</v>
      </c>
      <c r="G241" s="214">
        <v>23.768999999999998</v>
      </c>
    </row>
    <row r="242" spans="2:8" x14ac:dyDescent="0.15">
      <c r="B242" s="22" t="s">
        <v>442</v>
      </c>
      <c r="D242" s="215">
        <v>241.078</v>
      </c>
      <c r="E242" s="215">
        <v>295.53199999999998</v>
      </c>
      <c r="F242" s="215">
        <v>361.47</v>
      </c>
      <c r="G242" s="215">
        <v>314.44799999999998</v>
      </c>
    </row>
    <row r="243" spans="2:8" x14ac:dyDescent="0.15">
      <c r="B243" s="18"/>
    </row>
    <row r="245" spans="2:8" ht="18" customHeight="1" x14ac:dyDescent="0.15">
      <c r="B245" s="5" t="s">
        <v>443</v>
      </c>
      <c r="C245" s="6"/>
      <c r="D245" s="6"/>
      <c r="E245" s="6"/>
      <c r="F245" s="6"/>
      <c r="G245" s="6"/>
      <c r="H245" s="6"/>
    </row>
    <row r="246" spans="2:8" x14ac:dyDescent="0.15">
      <c r="B246" s="18" t="s">
        <v>444</v>
      </c>
    </row>
    <row r="247" spans="2:8" x14ac:dyDescent="0.15">
      <c r="B247" s="8" t="s">
        <v>445</v>
      </c>
      <c r="D247" s="214">
        <v>3550.0250000000001</v>
      </c>
      <c r="E247" s="214">
        <v>3601.26</v>
      </c>
      <c r="F247" s="214">
        <v>4769.0450000000001</v>
      </c>
      <c r="G247" s="214">
        <v>5577.433</v>
      </c>
      <c r="H247" s="17" t="s">
        <v>54</v>
      </c>
    </row>
    <row r="248" spans="2:8" x14ac:dyDescent="0.15">
      <c r="B248" s="8" t="s">
        <v>72</v>
      </c>
      <c r="D248" s="214">
        <v>371.45699999999999</v>
      </c>
      <c r="E248" s="214">
        <v>329.54300000000001</v>
      </c>
      <c r="F248" s="214">
        <v>414.62599999999998</v>
      </c>
      <c r="G248" s="214">
        <v>542.64400000000001</v>
      </c>
    </row>
    <row r="249" spans="2:8" x14ac:dyDescent="0.15">
      <c r="B249" s="8" t="s">
        <v>150</v>
      </c>
      <c r="D249" s="214">
        <v>-626.44200000000001</v>
      </c>
      <c r="E249" s="214">
        <v>-1071.0989999999999</v>
      </c>
      <c r="F249" s="214">
        <v>-1229.999</v>
      </c>
      <c r="G249" s="214">
        <v>-634.71799999999996</v>
      </c>
    </row>
    <row r="250" spans="2:8" x14ac:dyDescent="0.15">
      <c r="B250" s="22" t="s">
        <v>151</v>
      </c>
      <c r="D250" s="215">
        <v>3295.04</v>
      </c>
      <c r="E250" s="215">
        <v>2859.7040000000002</v>
      </c>
      <c r="F250" s="215">
        <v>3953.672</v>
      </c>
      <c r="G250" s="215">
        <v>5485.3590000000004</v>
      </c>
    </row>
    <row r="251" spans="2:8" x14ac:dyDescent="0.15">
      <c r="B251" s="8" t="s">
        <v>28</v>
      </c>
      <c r="D251" s="214">
        <v>1110.431</v>
      </c>
      <c r="E251" s="214">
        <v>1253.404</v>
      </c>
      <c r="F251" s="214">
        <v>1850.9939999999999</v>
      </c>
      <c r="G251" s="214">
        <v>1816.444</v>
      </c>
    </row>
    <row r="252" spans="2:8" x14ac:dyDescent="0.15">
      <c r="B252" s="8" t="s">
        <v>446</v>
      </c>
      <c r="D252" s="214">
        <v>3550.0250000000001</v>
      </c>
      <c r="E252" s="214">
        <v>3601.26</v>
      </c>
      <c r="F252" s="214">
        <v>4769.0450000000001</v>
      </c>
      <c r="G252" s="214">
        <v>5577.4340000000002</v>
      </c>
      <c r="H252" s="17" t="s">
        <v>447</v>
      </c>
    </row>
    <row r="253" spans="2:8" x14ac:dyDescent="0.15">
      <c r="B253" s="8" t="s">
        <v>448</v>
      </c>
      <c r="D253" s="214">
        <v>371.45699999999999</v>
      </c>
      <c r="E253" s="214">
        <v>329.54300000000001</v>
      </c>
      <c r="F253" s="214">
        <v>414.62599999999998</v>
      </c>
      <c r="G253" s="214">
        <v>542.64400000000001</v>
      </c>
    </row>
    <row r="254" spans="2:8" x14ac:dyDescent="0.15">
      <c r="B254" s="8" t="s">
        <v>449</v>
      </c>
      <c r="D254" s="214">
        <v>3295.04</v>
      </c>
      <c r="E254" s="214">
        <v>2859.7040000000002</v>
      </c>
      <c r="F254" s="214">
        <v>3953.672</v>
      </c>
      <c r="G254" s="214">
        <v>5485.36</v>
      </c>
    </row>
    <row r="255" spans="2:8" x14ac:dyDescent="0.15">
      <c r="B255" s="8" t="s">
        <v>450</v>
      </c>
      <c r="D255" s="217">
        <v>2.97</v>
      </c>
      <c r="E255" s="217">
        <v>2.2799999999999998</v>
      </c>
      <c r="F255" s="217">
        <v>2.14</v>
      </c>
      <c r="G255" s="217">
        <v>3.02</v>
      </c>
    </row>
    <row r="256" spans="2:8" x14ac:dyDescent="0.15">
      <c r="B256" s="18" t="s">
        <v>451</v>
      </c>
    </row>
    <row r="257" spans="2:8" x14ac:dyDescent="0.15">
      <c r="B257" s="8" t="s">
        <v>452</v>
      </c>
      <c r="F257" s="214">
        <v>378.01600000000002</v>
      </c>
      <c r="G257" s="214">
        <v>468.19099999999997</v>
      </c>
      <c r="H257" s="17" t="s">
        <v>453</v>
      </c>
    </row>
    <row r="258" spans="2:8" x14ac:dyDescent="0.15">
      <c r="B258" s="8" t="s">
        <v>454</v>
      </c>
      <c r="F258" s="214">
        <v>196.37100000000001</v>
      </c>
      <c r="G258" s="214">
        <v>224.12700000000001</v>
      </c>
    </row>
    <row r="259" spans="2:8" x14ac:dyDescent="0.15">
      <c r="B259" s="8" t="s">
        <v>455</v>
      </c>
      <c r="F259" s="214">
        <v>135.178</v>
      </c>
      <c r="G259" s="214">
        <v>131.75399999999999</v>
      </c>
    </row>
    <row r="261" spans="2:8" ht="18" customHeight="1" x14ac:dyDescent="0.15">
      <c r="B261" s="5" t="s">
        <v>456</v>
      </c>
      <c r="C261" s="6"/>
      <c r="D261" s="6"/>
      <c r="E261" s="6"/>
      <c r="F261" s="6"/>
      <c r="G261" s="6"/>
      <c r="H261" s="6"/>
    </row>
    <row r="262" spans="2:8" x14ac:dyDescent="0.15">
      <c r="B262" s="11" t="s">
        <v>457</v>
      </c>
      <c r="C262" s="11" t="s">
        <v>458</v>
      </c>
      <c r="D262" s="12" t="s">
        <v>459</v>
      </c>
      <c r="E262" s="12" t="s">
        <v>8</v>
      </c>
      <c r="H262" s="11" t="s">
        <v>460</v>
      </c>
    </row>
    <row r="263" spans="2:8" x14ac:dyDescent="0.15">
      <c r="B263" s="8" t="s">
        <v>461</v>
      </c>
      <c r="C263" s="36" t="s">
        <v>462</v>
      </c>
      <c r="D263" s="9" t="s">
        <v>463</v>
      </c>
      <c r="E263" s="218">
        <v>434.67599999999999</v>
      </c>
      <c r="H263" s="17" t="s">
        <v>464</v>
      </c>
    </row>
    <row r="264" spans="2:8" x14ac:dyDescent="0.15">
      <c r="B264" s="8" t="s">
        <v>465</v>
      </c>
      <c r="C264" s="36" t="s">
        <v>50</v>
      </c>
      <c r="D264" s="9" t="s">
        <v>463</v>
      </c>
      <c r="E264" s="218">
        <v>768.37800000000004</v>
      </c>
      <c r="H264" s="17" t="s">
        <v>466</v>
      </c>
    </row>
    <row r="265" spans="2:8" x14ac:dyDescent="0.15">
      <c r="B265" s="8" t="s">
        <v>465</v>
      </c>
      <c r="C265" s="36" t="s">
        <v>462</v>
      </c>
      <c r="D265" s="9" t="s">
        <v>463</v>
      </c>
      <c r="E265" s="218">
        <v>1857.354</v>
      </c>
      <c r="H265" s="17" t="s">
        <v>467</v>
      </c>
    </row>
    <row r="266" spans="2:8" x14ac:dyDescent="0.15">
      <c r="B266" s="8" t="s">
        <v>465</v>
      </c>
      <c r="C266" s="36" t="s">
        <v>50</v>
      </c>
      <c r="D266" s="9" t="s">
        <v>463</v>
      </c>
      <c r="E266" s="218">
        <v>70.494</v>
      </c>
      <c r="H266" s="17" t="s">
        <v>466</v>
      </c>
    </row>
    <row r="267" spans="2:8" x14ac:dyDescent="0.15">
      <c r="B267" s="8" t="s">
        <v>465</v>
      </c>
      <c r="C267" s="36" t="s">
        <v>462</v>
      </c>
      <c r="D267" s="9" t="s">
        <v>463</v>
      </c>
      <c r="E267" s="218">
        <v>66.510000000000005</v>
      </c>
      <c r="H267" s="17" t="s">
        <v>467</v>
      </c>
    </row>
    <row r="268" spans="2:8" x14ac:dyDescent="0.15">
      <c r="B268" s="8" t="s">
        <v>465</v>
      </c>
      <c r="C268" s="36" t="s">
        <v>50</v>
      </c>
      <c r="D268" s="9" t="s">
        <v>463</v>
      </c>
      <c r="E268" s="218">
        <v>77.778000000000006</v>
      </c>
      <c r="H268" s="17" t="s">
        <v>466</v>
      </c>
    </row>
    <row r="269" spans="2:8" x14ac:dyDescent="0.15">
      <c r="B269" s="8" t="s">
        <v>465</v>
      </c>
      <c r="C269" s="36" t="s">
        <v>462</v>
      </c>
      <c r="D269" s="9" t="s">
        <v>463</v>
      </c>
      <c r="E269" s="218">
        <v>114.432</v>
      </c>
      <c r="H269" s="17" t="s">
        <v>467</v>
      </c>
    </row>
    <row r="270" spans="2:8" x14ac:dyDescent="0.15">
      <c r="B270" s="8" t="s">
        <v>465</v>
      </c>
      <c r="C270" s="36" t="s">
        <v>50</v>
      </c>
      <c r="D270" s="9" t="s">
        <v>463</v>
      </c>
      <c r="E270" s="218">
        <v>138.286</v>
      </c>
      <c r="H270" s="17" t="s">
        <v>466</v>
      </c>
    </row>
    <row r="271" spans="2:8" x14ac:dyDescent="0.15">
      <c r="B271" s="8" t="s">
        <v>465</v>
      </c>
      <c r="C271" s="36" t="s">
        <v>462</v>
      </c>
      <c r="D271" s="9" t="s">
        <v>463</v>
      </c>
      <c r="E271" s="218">
        <v>126.267</v>
      </c>
      <c r="H271" s="17" t="s">
        <v>467</v>
      </c>
    </row>
    <row r="272" spans="2:8" x14ac:dyDescent="0.15">
      <c r="B272" s="8" t="s">
        <v>468</v>
      </c>
      <c r="C272" s="36" t="s">
        <v>50</v>
      </c>
      <c r="D272" s="9" t="s">
        <v>463</v>
      </c>
      <c r="E272" s="218">
        <v>356.66800000000001</v>
      </c>
      <c r="H272" s="17" t="s">
        <v>466</v>
      </c>
    </row>
    <row r="273" spans="2:8" x14ac:dyDescent="0.15">
      <c r="B273" s="8" t="s">
        <v>468</v>
      </c>
      <c r="C273" s="36" t="s">
        <v>462</v>
      </c>
      <c r="D273" s="9" t="s">
        <v>463</v>
      </c>
      <c r="E273" s="218">
        <v>238.06</v>
      </c>
      <c r="H273" s="17" t="s">
        <v>467</v>
      </c>
    </row>
    <row r="274" spans="2:8" x14ac:dyDescent="0.15">
      <c r="B274" s="8" t="s">
        <v>469</v>
      </c>
      <c r="C274" s="36" t="s">
        <v>50</v>
      </c>
      <c r="D274" s="9" t="s">
        <v>463</v>
      </c>
      <c r="E274" s="218">
        <v>12.21</v>
      </c>
      <c r="H274" s="17" t="s">
        <v>466</v>
      </c>
    </row>
    <row r="275" spans="2:8" x14ac:dyDescent="0.15">
      <c r="B275" s="8" t="s">
        <v>469</v>
      </c>
      <c r="C275" s="36" t="s">
        <v>462</v>
      </c>
      <c r="D275" s="9" t="s">
        <v>463</v>
      </c>
      <c r="E275" s="218">
        <v>401.80599999999998</v>
      </c>
      <c r="H275" s="17" t="s">
        <v>467</v>
      </c>
    </row>
    <row r="276" spans="2:8" x14ac:dyDescent="0.15">
      <c r="B276" s="8" t="s">
        <v>470</v>
      </c>
      <c r="C276" s="36" t="s">
        <v>50</v>
      </c>
      <c r="D276" s="9" t="s">
        <v>463</v>
      </c>
      <c r="E276" s="218">
        <v>389.2</v>
      </c>
      <c r="H276" s="17" t="s">
        <v>466</v>
      </c>
    </row>
    <row r="277" spans="2:8" x14ac:dyDescent="0.15">
      <c r="B277" s="8" t="s">
        <v>471</v>
      </c>
      <c r="C277" s="36" t="s">
        <v>50</v>
      </c>
      <c r="D277" s="9" t="s">
        <v>472</v>
      </c>
      <c r="E277" s="218">
        <v>485.72699999999998</v>
      </c>
      <c r="H277" s="17" t="s">
        <v>473</v>
      </c>
    </row>
    <row r="278" spans="2:8" x14ac:dyDescent="0.15">
      <c r="B278" s="8" t="s">
        <v>474</v>
      </c>
      <c r="C278" s="36" t="s">
        <v>462</v>
      </c>
      <c r="D278" s="9" t="s">
        <v>475</v>
      </c>
      <c r="E278" s="218">
        <v>3.7570000000000001</v>
      </c>
      <c r="H278" s="17" t="s">
        <v>476</v>
      </c>
    </row>
    <row r="279" spans="2:8" x14ac:dyDescent="0.15">
      <c r="B279" s="8" t="s">
        <v>474</v>
      </c>
      <c r="C279" s="36" t="s">
        <v>462</v>
      </c>
      <c r="D279" s="9" t="s">
        <v>477</v>
      </c>
      <c r="E279" s="218">
        <v>17.510999999999999</v>
      </c>
      <c r="H279" s="17" t="s">
        <v>476</v>
      </c>
    </row>
    <row r="280" spans="2:8" x14ac:dyDescent="0.15">
      <c r="B280" s="8" t="s">
        <v>474</v>
      </c>
      <c r="C280" s="36" t="s">
        <v>462</v>
      </c>
      <c r="D280" s="9" t="s">
        <v>478</v>
      </c>
      <c r="E280" s="218">
        <v>12.018000000000001</v>
      </c>
      <c r="H280" s="17" t="s">
        <v>476</v>
      </c>
    </row>
    <row r="281" spans="2:8" x14ac:dyDescent="0.15">
      <c r="B281" s="8" t="s">
        <v>474</v>
      </c>
      <c r="C281" s="36" t="s">
        <v>462</v>
      </c>
      <c r="D281" s="9" t="s">
        <v>479</v>
      </c>
      <c r="E281" s="218">
        <v>4.0970000000000004</v>
      </c>
      <c r="H281" s="17" t="s">
        <v>480</v>
      </c>
    </row>
    <row r="282" spans="2:8" x14ac:dyDescent="0.15">
      <c r="B282" s="8" t="s">
        <v>481</v>
      </c>
      <c r="C282" s="36" t="s">
        <v>462</v>
      </c>
      <c r="D282" s="9" t="s">
        <v>479</v>
      </c>
      <c r="E282" s="218">
        <v>2.206</v>
      </c>
      <c r="H282" s="17" t="s">
        <v>480</v>
      </c>
    </row>
    <row r="283" spans="2:8" x14ac:dyDescent="0.15">
      <c r="B283" s="22" t="s">
        <v>482</v>
      </c>
      <c r="E283" s="219">
        <v>5577.4350000000004</v>
      </c>
    </row>
    <row r="284" spans="2:8" x14ac:dyDescent="0.15">
      <c r="B284" s="8" t="s">
        <v>483</v>
      </c>
      <c r="E284" s="218">
        <v>3278.694</v>
      </c>
    </row>
    <row r="285" spans="2:8" x14ac:dyDescent="0.15">
      <c r="B285" s="8" t="s">
        <v>484</v>
      </c>
      <c r="E285" s="218">
        <v>2298.741</v>
      </c>
    </row>
    <row r="286" spans="2:8" x14ac:dyDescent="0.15">
      <c r="B286" s="8" t="s">
        <v>485</v>
      </c>
      <c r="E286" s="218">
        <v>5052.1189999999997</v>
      </c>
    </row>
    <row r="288" spans="2:8" x14ac:dyDescent="0.15">
      <c r="B288" s="18"/>
    </row>
    <row r="289" spans="2:8" x14ac:dyDescent="0.15">
      <c r="B289" s="17"/>
    </row>
    <row r="290" spans="2:8" x14ac:dyDescent="0.15">
      <c r="B290" s="17"/>
    </row>
    <row r="291" spans="2:8" x14ac:dyDescent="0.15">
      <c r="B291" s="17"/>
    </row>
    <row r="292" spans="2:8" x14ac:dyDescent="0.15">
      <c r="B292" s="17"/>
    </row>
    <row r="293" spans="2:8" x14ac:dyDescent="0.15">
      <c r="B293" s="17"/>
    </row>
    <row r="294" spans="2:8" x14ac:dyDescent="0.15">
      <c r="B294" s="17"/>
    </row>
    <row r="295" spans="2:8" x14ac:dyDescent="0.15">
      <c r="B295" s="17"/>
    </row>
    <row r="297" spans="2:8" ht="18" customHeight="1" x14ac:dyDescent="0.15">
      <c r="B297" s="5" t="s">
        <v>486</v>
      </c>
      <c r="C297" s="6"/>
      <c r="D297" s="6"/>
      <c r="E297" s="6"/>
      <c r="F297" s="6"/>
      <c r="G297" s="6"/>
      <c r="H297" s="6"/>
    </row>
    <row r="298" spans="2:8" x14ac:dyDescent="0.15">
      <c r="B298" s="17" t="s">
        <v>676</v>
      </c>
    </row>
    <row r="299" spans="2:8" x14ac:dyDescent="0.15">
      <c r="D299" s="12" t="s">
        <v>487</v>
      </c>
      <c r="E299" s="12" t="s">
        <v>488</v>
      </c>
      <c r="F299" s="12" t="s">
        <v>489</v>
      </c>
    </row>
    <row r="300" spans="2:8" x14ac:dyDescent="0.15">
      <c r="B300" s="18" t="s">
        <v>35</v>
      </c>
    </row>
    <row r="301" spans="2:8" x14ac:dyDescent="0.15">
      <c r="B301" s="8" t="s">
        <v>15</v>
      </c>
      <c r="D301" s="214">
        <v>5064.6260000000002</v>
      </c>
      <c r="E301" s="214">
        <v>5581.5870000000004</v>
      </c>
      <c r="F301" s="214">
        <v>11271.289000000001</v>
      </c>
    </row>
    <row r="302" spans="2:8" x14ac:dyDescent="0.15">
      <c r="B302" s="8" t="s">
        <v>293</v>
      </c>
      <c r="D302" s="214">
        <v>-2768.51</v>
      </c>
      <c r="E302" s="214">
        <v>-2930.5320000000002</v>
      </c>
      <c r="F302" s="214">
        <v>-5837.0219999999999</v>
      </c>
    </row>
    <row r="303" spans="2:8" x14ac:dyDescent="0.15">
      <c r="B303" s="22" t="s">
        <v>294</v>
      </c>
      <c r="D303" s="220">
        <v>2296.116</v>
      </c>
      <c r="E303" s="220">
        <v>2651.0549999999998</v>
      </c>
      <c r="F303" s="220">
        <v>5434.2669999999998</v>
      </c>
    </row>
    <row r="304" spans="2:8" x14ac:dyDescent="0.15">
      <c r="B304" s="8" t="s">
        <v>295</v>
      </c>
      <c r="D304" s="214">
        <v>-1649.3920000000001</v>
      </c>
      <c r="E304" s="214">
        <v>-1773.72</v>
      </c>
      <c r="F304" s="214">
        <v>-3480.77</v>
      </c>
    </row>
    <row r="305" spans="2:6" x14ac:dyDescent="0.15">
      <c r="B305" s="8" t="s">
        <v>296</v>
      </c>
      <c r="D305" s="214">
        <v>-351.92899999999997</v>
      </c>
      <c r="E305" s="214">
        <v>-545.07799999999997</v>
      </c>
      <c r="F305" s="214">
        <v>-799.96900000000005</v>
      </c>
    </row>
    <row r="306" spans="2:6" x14ac:dyDescent="0.15">
      <c r="B306" s="8" t="s">
        <v>24</v>
      </c>
      <c r="D306" s="214">
        <v>57.429000000000002</v>
      </c>
      <c r="E306" s="214">
        <v>77.641000000000005</v>
      </c>
      <c r="F306" s="214">
        <v>172.376</v>
      </c>
    </row>
    <row r="307" spans="2:6" x14ac:dyDescent="0.15">
      <c r="B307" s="8" t="s">
        <v>297</v>
      </c>
      <c r="D307" s="214">
        <v>-52.65</v>
      </c>
      <c r="E307" s="214">
        <v>-39.234999999999999</v>
      </c>
      <c r="F307" s="214">
        <v>-90.230999999999995</v>
      </c>
    </row>
    <row r="308" spans="2:6" x14ac:dyDescent="0.15">
      <c r="B308" s="22" t="s">
        <v>298</v>
      </c>
      <c r="D308" s="220">
        <v>299.57400000000001</v>
      </c>
      <c r="E308" s="220">
        <v>370.66300000000001</v>
      </c>
      <c r="F308" s="220">
        <v>1235.673</v>
      </c>
    </row>
    <row r="309" spans="2:6" x14ac:dyDescent="0.15">
      <c r="B309" s="8" t="s">
        <v>39</v>
      </c>
      <c r="D309" s="214">
        <v>37.871000000000002</v>
      </c>
      <c r="E309" s="214">
        <v>10.327</v>
      </c>
      <c r="F309" s="214">
        <v>56.988</v>
      </c>
    </row>
    <row r="310" spans="2:6" x14ac:dyDescent="0.15">
      <c r="B310" s="8" t="s">
        <v>40</v>
      </c>
      <c r="D310" s="214">
        <v>-139.078</v>
      </c>
      <c r="E310" s="214">
        <v>-195.53399999999999</v>
      </c>
      <c r="F310" s="214">
        <v>-370.904</v>
      </c>
    </row>
    <row r="311" spans="2:6" x14ac:dyDescent="0.15">
      <c r="B311" s="8" t="s">
        <v>299</v>
      </c>
      <c r="D311" s="214">
        <v>12.436</v>
      </c>
      <c r="E311" s="214">
        <v>10.055999999999999</v>
      </c>
      <c r="F311" s="214">
        <v>-4.1379999999999999</v>
      </c>
    </row>
    <row r="312" spans="2:6" x14ac:dyDescent="0.15">
      <c r="B312" s="22" t="s">
        <v>42</v>
      </c>
      <c r="D312" s="220">
        <v>210.803</v>
      </c>
      <c r="E312" s="220">
        <v>195.512</v>
      </c>
      <c r="F312" s="220">
        <v>917.61900000000003</v>
      </c>
    </row>
    <row r="313" spans="2:6" x14ac:dyDescent="0.15">
      <c r="B313" s="8" t="s">
        <v>43</v>
      </c>
      <c r="D313" s="214">
        <v>-73.97</v>
      </c>
      <c r="E313" s="214">
        <v>-42.040999999999997</v>
      </c>
      <c r="F313" s="214">
        <v>-219.392</v>
      </c>
    </row>
    <row r="314" spans="2:6" x14ac:dyDescent="0.15">
      <c r="B314" s="22" t="s">
        <v>44</v>
      </c>
      <c r="D314" s="220">
        <v>136.833</v>
      </c>
      <c r="E314" s="220">
        <v>153.471</v>
      </c>
      <c r="F314" s="220">
        <v>698.22699999999998</v>
      </c>
    </row>
    <row r="315" spans="2:6" x14ac:dyDescent="0.15">
      <c r="B315" s="8" t="s">
        <v>300</v>
      </c>
      <c r="D315" s="214">
        <v>113.60899999999999</v>
      </c>
      <c r="E315" s="214">
        <v>138.249</v>
      </c>
      <c r="F315" s="214">
        <v>698.56399999999996</v>
      </c>
    </row>
    <row r="316" spans="2:6" x14ac:dyDescent="0.15">
      <c r="B316" s="8" t="s">
        <v>301</v>
      </c>
      <c r="D316" s="214">
        <v>23.222999999999999</v>
      </c>
      <c r="E316" s="214">
        <v>15.222</v>
      </c>
      <c r="F316" s="214">
        <v>-0.33599999999999902</v>
      </c>
    </row>
    <row r="317" spans="2:6" x14ac:dyDescent="0.15">
      <c r="B317" s="8" t="s">
        <v>303</v>
      </c>
      <c r="D317" s="35">
        <v>5.34</v>
      </c>
      <c r="E317" s="35">
        <v>6.48</v>
      </c>
    </row>
    <row r="319" spans="2:6" x14ac:dyDescent="0.15">
      <c r="B319" s="18" t="s">
        <v>26</v>
      </c>
    </row>
    <row r="320" spans="2:6" x14ac:dyDescent="0.15">
      <c r="B320" s="8" t="s">
        <v>310</v>
      </c>
      <c r="D320" s="214">
        <v>359.82799999999997</v>
      </c>
      <c r="E320" s="214">
        <v>438.303</v>
      </c>
      <c r="F320" s="214">
        <v>839.11900000000003</v>
      </c>
    </row>
    <row r="321" spans="2:6" x14ac:dyDescent="0.15">
      <c r="B321" s="22" t="s">
        <v>490</v>
      </c>
      <c r="D321" s="220">
        <v>659.40200000000004</v>
      </c>
      <c r="E321" s="220">
        <v>808.96600000000001</v>
      </c>
      <c r="F321" s="220">
        <v>2074.7919999999999</v>
      </c>
    </row>
    <row r="322" spans="2:6" x14ac:dyDescent="0.15">
      <c r="B322" s="8" t="s">
        <v>312</v>
      </c>
      <c r="D322" s="214">
        <v>14.385</v>
      </c>
      <c r="E322" s="214">
        <v>-27.350999999999999</v>
      </c>
      <c r="F322" s="214">
        <v>-150.52000000000001</v>
      </c>
    </row>
    <row r="323" spans="2:6" x14ac:dyDescent="0.15">
      <c r="B323" s="22" t="s">
        <v>28</v>
      </c>
      <c r="D323" s="220">
        <v>673.78700000000003</v>
      </c>
      <c r="E323" s="220">
        <v>781.61500000000001</v>
      </c>
      <c r="F323" s="220">
        <v>1924.2719999999999</v>
      </c>
    </row>
    <row r="324" spans="2:6" x14ac:dyDescent="0.15">
      <c r="B324" s="8" t="s">
        <v>33</v>
      </c>
      <c r="D324" s="19">
        <v>0.13303785906402599</v>
      </c>
      <c r="E324" s="19">
        <v>0.14003454573045299</v>
      </c>
      <c r="F324" s="19">
        <v>0.17072333075658</v>
      </c>
    </row>
    <row r="325" spans="2:6" x14ac:dyDescent="0.15">
      <c r="B325" s="17"/>
    </row>
    <row r="326" spans="2:6" x14ac:dyDescent="0.15">
      <c r="B326" s="18" t="s">
        <v>54</v>
      </c>
    </row>
    <row r="327" spans="2:6" x14ac:dyDescent="0.15">
      <c r="D327" s="12" t="s">
        <v>491</v>
      </c>
      <c r="E327" s="12" t="s">
        <v>492</v>
      </c>
    </row>
    <row r="328" spans="2:6" x14ac:dyDescent="0.15">
      <c r="B328" s="8" t="s">
        <v>318</v>
      </c>
      <c r="D328" s="214">
        <v>5267.049</v>
      </c>
      <c r="E328" s="214">
        <v>5798.18</v>
      </c>
    </row>
    <row r="329" spans="2:6" x14ac:dyDescent="0.15">
      <c r="B329" s="8" t="s">
        <v>319</v>
      </c>
      <c r="D329" s="214">
        <v>32.654000000000003</v>
      </c>
      <c r="E329" s="214">
        <v>30.818999999999999</v>
      </c>
    </row>
    <row r="330" spans="2:6" x14ac:dyDescent="0.15">
      <c r="B330" s="8" t="s">
        <v>320</v>
      </c>
      <c r="D330" s="214">
        <v>1053.883</v>
      </c>
      <c r="E330" s="214">
        <v>1149.799</v>
      </c>
    </row>
    <row r="331" spans="2:6" x14ac:dyDescent="0.15">
      <c r="B331" s="8" t="s">
        <v>321</v>
      </c>
      <c r="D331" s="214">
        <v>1710.0930000000001</v>
      </c>
      <c r="E331" s="214">
        <v>1711.9359999999999</v>
      </c>
    </row>
    <row r="332" spans="2:6" x14ac:dyDescent="0.15">
      <c r="B332" s="8" t="s">
        <v>64</v>
      </c>
      <c r="D332" s="214">
        <v>188.721</v>
      </c>
      <c r="E332" s="214">
        <v>390.52800000000002</v>
      </c>
    </row>
    <row r="333" spans="2:6" x14ac:dyDescent="0.15">
      <c r="B333" s="8" t="s">
        <v>322</v>
      </c>
      <c r="D333" s="214">
        <v>135.33000000000001</v>
      </c>
      <c r="E333" s="214">
        <v>171.69399999999999</v>
      </c>
    </row>
    <row r="334" spans="2:6" x14ac:dyDescent="0.15">
      <c r="B334" s="8" t="s">
        <v>493</v>
      </c>
      <c r="D334" s="214">
        <v>58</v>
      </c>
      <c r="E334" s="214">
        <v>111.473</v>
      </c>
    </row>
    <row r="335" spans="2:6" x14ac:dyDescent="0.15">
      <c r="B335" s="8" t="s">
        <v>324</v>
      </c>
      <c r="D335" s="214">
        <v>30.533999999999999</v>
      </c>
      <c r="E335" s="214">
        <v>40.075000000000003</v>
      </c>
    </row>
    <row r="336" spans="2:6" x14ac:dyDescent="0.15">
      <c r="B336" s="22" t="s">
        <v>66</v>
      </c>
      <c r="D336" s="220">
        <v>8476.2639999999992</v>
      </c>
      <c r="E336" s="220">
        <v>9404.5040000000008</v>
      </c>
    </row>
    <row r="337" spans="2:5" x14ac:dyDescent="0.15">
      <c r="B337" s="8" t="s">
        <v>58</v>
      </c>
      <c r="D337" s="214">
        <v>1008.021</v>
      </c>
      <c r="E337" s="214">
        <v>1223.9480000000001</v>
      </c>
    </row>
    <row r="338" spans="2:5" x14ac:dyDescent="0.15">
      <c r="B338" s="8" t="s">
        <v>57</v>
      </c>
      <c r="D338" s="214">
        <v>1338.4290000000001</v>
      </c>
      <c r="E338" s="214">
        <v>1784.471</v>
      </c>
    </row>
    <row r="339" spans="2:5" x14ac:dyDescent="0.15">
      <c r="B339" s="8" t="s">
        <v>494</v>
      </c>
      <c r="D339" s="214">
        <v>0</v>
      </c>
      <c r="E339" s="214">
        <v>1.377</v>
      </c>
    </row>
    <row r="340" spans="2:5" x14ac:dyDescent="0.15">
      <c r="B340" s="8" t="s">
        <v>60</v>
      </c>
      <c r="D340" s="214">
        <v>80.772999999999996</v>
      </c>
      <c r="E340" s="214">
        <v>100.526</v>
      </c>
    </row>
    <row r="341" spans="2:5" x14ac:dyDescent="0.15">
      <c r="B341" s="8" t="s">
        <v>56</v>
      </c>
      <c r="D341" s="214">
        <v>634.71799999999996</v>
      </c>
      <c r="E341" s="214">
        <v>808.44399999999996</v>
      </c>
    </row>
    <row r="342" spans="2:5" x14ac:dyDescent="0.15">
      <c r="B342" s="22" t="s">
        <v>61</v>
      </c>
      <c r="D342" s="220">
        <v>3061.9409999999998</v>
      </c>
      <c r="E342" s="220">
        <v>3918.7660000000001</v>
      </c>
    </row>
    <row r="343" spans="2:5" x14ac:dyDescent="0.15">
      <c r="B343" s="22" t="s">
        <v>326</v>
      </c>
      <c r="D343" s="220">
        <v>11538.205</v>
      </c>
      <c r="E343" s="220">
        <v>13323.27</v>
      </c>
    </row>
    <row r="344" spans="2:5" x14ac:dyDescent="0.15">
      <c r="B344" s="8" t="s">
        <v>328</v>
      </c>
      <c r="D344" s="214">
        <v>1114.597</v>
      </c>
      <c r="E344" s="214">
        <v>1114.597</v>
      </c>
    </row>
    <row r="345" spans="2:5" x14ac:dyDescent="0.15">
      <c r="B345" s="8" t="s">
        <v>329</v>
      </c>
      <c r="D345" s="214">
        <v>-1962.8710000000001</v>
      </c>
      <c r="E345" s="214">
        <v>-1962.8710000000001</v>
      </c>
    </row>
    <row r="346" spans="2:5" x14ac:dyDescent="0.15">
      <c r="B346" s="8" t="s">
        <v>330</v>
      </c>
      <c r="D346" s="214">
        <v>2574.1990000000001</v>
      </c>
      <c r="E346" s="214">
        <v>2608.9899999999998</v>
      </c>
    </row>
    <row r="347" spans="2:5" x14ac:dyDescent="0.15">
      <c r="B347" s="8" t="s">
        <v>331</v>
      </c>
      <c r="D347" s="214">
        <v>-20.824999999999999</v>
      </c>
      <c r="E347" s="214">
        <v>-33.305</v>
      </c>
    </row>
    <row r="348" spans="2:5" x14ac:dyDescent="0.15">
      <c r="B348" s="8" t="s">
        <v>332</v>
      </c>
      <c r="D348" s="214">
        <v>-439.30399999999997</v>
      </c>
      <c r="E348" s="214">
        <v>-421.61399999999998</v>
      </c>
    </row>
    <row r="349" spans="2:5" x14ac:dyDescent="0.15">
      <c r="B349" s="8" t="s">
        <v>333</v>
      </c>
      <c r="D349" s="214">
        <v>682.09500000000003</v>
      </c>
      <c r="E349" s="214">
        <v>352.21300000000002</v>
      </c>
    </row>
    <row r="350" spans="2:5" x14ac:dyDescent="0.15">
      <c r="B350" s="22" t="s">
        <v>334</v>
      </c>
      <c r="D350" s="220">
        <v>1947.8910000000001</v>
      </c>
      <c r="E350" s="220">
        <v>1658.01</v>
      </c>
    </row>
    <row r="351" spans="2:5" x14ac:dyDescent="0.15">
      <c r="B351" s="8" t="s">
        <v>45</v>
      </c>
      <c r="D351" s="214">
        <v>334.98500000000001</v>
      </c>
      <c r="E351" s="214">
        <v>350.20699999999999</v>
      </c>
    </row>
    <row r="352" spans="2:5" x14ac:dyDescent="0.15">
      <c r="B352" s="22" t="s">
        <v>76</v>
      </c>
      <c r="D352" s="220">
        <v>2282.8760000000002</v>
      </c>
      <c r="E352" s="220">
        <v>2008.2170000000001</v>
      </c>
    </row>
    <row r="353" spans="2:5" x14ac:dyDescent="0.15">
      <c r="B353" s="8" t="s">
        <v>336</v>
      </c>
      <c r="D353" s="214">
        <v>4064.5520000000001</v>
      </c>
      <c r="E353" s="214">
        <v>5402.2659999999996</v>
      </c>
    </row>
    <row r="354" spans="2:5" x14ac:dyDescent="0.15">
      <c r="B354" s="8" t="s">
        <v>337</v>
      </c>
      <c r="D354" s="214">
        <v>386.73399999999998</v>
      </c>
      <c r="E354" s="214">
        <v>491.35399999999998</v>
      </c>
    </row>
    <row r="355" spans="2:5" x14ac:dyDescent="0.15">
      <c r="B355" s="8" t="s">
        <v>338</v>
      </c>
      <c r="D355" s="214">
        <v>37.100999999999999</v>
      </c>
      <c r="E355" s="214">
        <v>37.119999999999997</v>
      </c>
    </row>
    <row r="356" spans="2:5" x14ac:dyDescent="0.15">
      <c r="B356" s="8" t="s">
        <v>73</v>
      </c>
      <c r="D356" s="214">
        <v>103.003</v>
      </c>
      <c r="E356" s="214">
        <v>100.67</v>
      </c>
    </row>
    <row r="357" spans="2:5" x14ac:dyDescent="0.15">
      <c r="B357" s="8" t="s">
        <v>339</v>
      </c>
      <c r="D357" s="214">
        <v>523.05100000000004</v>
      </c>
      <c r="E357" s="214">
        <v>495.673</v>
      </c>
    </row>
    <row r="358" spans="2:5" x14ac:dyDescent="0.15">
      <c r="B358" s="22" t="s">
        <v>340</v>
      </c>
      <c r="D358" s="220">
        <v>5114.4409999999998</v>
      </c>
      <c r="E358" s="220">
        <v>6527.0829999999996</v>
      </c>
    </row>
    <row r="359" spans="2:5" x14ac:dyDescent="0.15">
      <c r="B359" s="8" t="s">
        <v>342</v>
      </c>
      <c r="D359" s="214">
        <v>1512.8810000000001</v>
      </c>
      <c r="E359" s="214">
        <v>1160.683</v>
      </c>
    </row>
    <row r="360" spans="2:5" x14ac:dyDescent="0.15">
      <c r="B360" s="8" t="s">
        <v>343</v>
      </c>
      <c r="D360" s="214">
        <v>155.91</v>
      </c>
      <c r="E360" s="214">
        <v>195.87100000000001</v>
      </c>
    </row>
    <row r="361" spans="2:5" x14ac:dyDescent="0.15">
      <c r="B361" s="8" t="s">
        <v>344</v>
      </c>
      <c r="D361" s="214">
        <v>66.433999999999997</v>
      </c>
      <c r="E361" s="214">
        <v>150.32</v>
      </c>
    </row>
    <row r="362" spans="2:5" x14ac:dyDescent="0.15">
      <c r="B362" s="8" t="s">
        <v>69</v>
      </c>
      <c r="D362" s="214">
        <v>2399.4290000000001</v>
      </c>
      <c r="E362" s="214">
        <v>3261.732</v>
      </c>
    </row>
    <row r="363" spans="2:5" x14ac:dyDescent="0.15">
      <c r="B363" s="8" t="s">
        <v>345</v>
      </c>
      <c r="D363" s="214">
        <v>6.234</v>
      </c>
      <c r="E363" s="214">
        <v>19.364000000000001</v>
      </c>
    </row>
    <row r="364" spans="2:5" x14ac:dyDescent="0.15">
      <c r="B364" s="22" t="s">
        <v>346</v>
      </c>
      <c r="D364" s="220">
        <v>4140.8879999999999</v>
      </c>
      <c r="E364" s="220">
        <v>4787.97</v>
      </c>
    </row>
    <row r="365" spans="2:5" x14ac:dyDescent="0.15">
      <c r="B365" s="22" t="s">
        <v>347</v>
      </c>
      <c r="D365" s="220">
        <v>11538.205</v>
      </c>
      <c r="E365" s="220">
        <v>13323.27</v>
      </c>
    </row>
    <row r="367" spans="2:5" x14ac:dyDescent="0.15">
      <c r="B367" s="18" t="s">
        <v>495</v>
      </c>
    </row>
    <row r="368" spans="2:5" x14ac:dyDescent="0.15">
      <c r="B368" s="22" t="s">
        <v>71</v>
      </c>
      <c r="D368" s="220">
        <v>5577.433</v>
      </c>
      <c r="E368" s="220">
        <v>6562.9489999999996</v>
      </c>
    </row>
    <row r="369" spans="2:6" x14ac:dyDescent="0.15">
      <c r="B369" s="22" t="s">
        <v>72</v>
      </c>
      <c r="D369" s="220">
        <v>542.64400000000001</v>
      </c>
      <c r="E369" s="220">
        <v>687.22500000000002</v>
      </c>
    </row>
    <row r="370" spans="2:6" x14ac:dyDescent="0.15">
      <c r="B370" s="22" t="s">
        <v>496</v>
      </c>
      <c r="D370" s="220">
        <v>-634.71799999999996</v>
      </c>
      <c r="E370" s="220">
        <v>-808.44399999999996</v>
      </c>
    </row>
    <row r="371" spans="2:6" x14ac:dyDescent="0.15">
      <c r="B371" s="22" t="s">
        <v>151</v>
      </c>
      <c r="D371" s="220">
        <v>5485.3590000000004</v>
      </c>
      <c r="E371" s="220">
        <v>6441.73</v>
      </c>
    </row>
    <row r="372" spans="2:6" x14ac:dyDescent="0.15">
      <c r="B372" s="8" t="s">
        <v>497</v>
      </c>
      <c r="D372" s="217">
        <v>3.0198338071528799</v>
      </c>
      <c r="E372" s="217">
        <v>3.34761925548987</v>
      </c>
    </row>
    <row r="373" spans="2:6" x14ac:dyDescent="0.15">
      <c r="B373" s="8" t="s">
        <v>498</v>
      </c>
      <c r="D373" s="35">
        <v>21.293526</v>
      </c>
      <c r="E373" s="35">
        <v>21.333731</v>
      </c>
    </row>
    <row r="374" spans="2:6" x14ac:dyDescent="0.15">
      <c r="B374" s="18" t="s">
        <v>499</v>
      </c>
    </row>
    <row r="375" spans="2:6" x14ac:dyDescent="0.15">
      <c r="D375" s="12" t="s">
        <v>487</v>
      </c>
      <c r="E375" s="12" t="s">
        <v>488</v>
      </c>
      <c r="F375" s="12" t="s">
        <v>489</v>
      </c>
    </row>
    <row r="376" spans="2:6" x14ac:dyDescent="0.15">
      <c r="B376" s="8" t="s">
        <v>42</v>
      </c>
      <c r="D376" s="214">
        <v>210.80199999999999</v>
      </c>
      <c r="E376" s="214">
        <v>195.512</v>
      </c>
    </row>
    <row r="377" spans="2:6" x14ac:dyDescent="0.15">
      <c r="B377" s="8" t="s">
        <v>310</v>
      </c>
      <c r="D377" s="214">
        <v>359.82799999999997</v>
      </c>
      <c r="E377" s="214">
        <v>438.303</v>
      </c>
    </row>
    <row r="378" spans="2:6" x14ac:dyDescent="0.15">
      <c r="B378" s="8" t="s">
        <v>351</v>
      </c>
      <c r="D378" s="214">
        <v>122.373</v>
      </c>
      <c r="E378" s="214">
        <v>149.32499999999999</v>
      </c>
    </row>
    <row r="379" spans="2:6" x14ac:dyDescent="0.15">
      <c r="B379" s="8" t="s">
        <v>352</v>
      </c>
      <c r="D379" s="214">
        <v>-12.436</v>
      </c>
      <c r="E379" s="214">
        <v>-10.055999999999999</v>
      </c>
    </row>
    <row r="380" spans="2:6" x14ac:dyDescent="0.15">
      <c r="B380" s="8" t="s">
        <v>500</v>
      </c>
      <c r="D380" s="214">
        <v>-3.7480000000000002</v>
      </c>
      <c r="E380" s="214">
        <v>0</v>
      </c>
    </row>
    <row r="381" spans="2:6" x14ac:dyDescent="0.15">
      <c r="B381" s="8" t="s">
        <v>354</v>
      </c>
      <c r="D381" s="214">
        <v>-115.411</v>
      </c>
      <c r="E381" s="214">
        <v>85.373000000000005</v>
      </c>
    </row>
    <row r="382" spans="2:6" x14ac:dyDescent="0.15">
      <c r="B382" s="8" t="s">
        <v>501</v>
      </c>
      <c r="D382" s="214">
        <v>-0.30499999999999999</v>
      </c>
      <c r="E382" s="214">
        <v>-5.649</v>
      </c>
    </row>
    <row r="383" spans="2:6" x14ac:dyDescent="0.15">
      <c r="B383" s="8" t="s">
        <v>356</v>
      </c>
      <c r="D383" s="214">
        <v>11.677</v>
      </c>
      <c r="E383" s="214">
        <v>12.458</v>
      </c>
    </row>
    <row r="384" spans="2:6" x14ac:dyDescent="0.15">
      <c r="B384" s="8" t="s">
        <v>502</v>
      </c>
      <c r="D384" s="214">
        <v>-32.408999999999999</v>
      </c>
      <c r="E384" s="214">
        <v>-24.297999999999998</v>
      </c>
    </row>
    <row r="385" spans="2:6" x14ac:dyDescent="0.15">
      <c r="B385" s="8" t="s">
        <v>503</v>
      </c>
      <c r="D385" s="214">
        <v>-32.453000000000003</v>
      </c>
      <c r="E385" s="214">
        <v>-1.028</v>
      </c>
    </row>
    <row r="386" spans="2:6" x14ac:dyDescent="0.15">
      <c r="B386" s="8" t="s">
        <v>419</v>
      </c>
      <c r="D386" s="214">
        <v>-38.744</v>
      </c>
      <c r="E386" s="214">
        <v>74.858000000000004</v>
      </c>
    </row>
    <row r="387" spans="2:6" x14ac:dyDescent="0.15">
      <c r="B387" s="8" t="s">
        <v>83</v>
      </c>
      <c r="D387" s="214">
        <v>-181.048</v>
      </c>
      <c r="E387" s="214">
        <v>-106.26300000000001</v>
      </c>
      <c r="F387" s="214">
        <v>-280.452</v>
      </c>
    </row>
    <row r="388" spans="2:6" x14ac:dyDescent="0.15">
      <c r="B388" s="8" t="s">
        <v>504</v>
      </c>
      <c r="D388" s="214">
        <v>-165.23699999999999</v>
      </c>
      <c r="E388" s="214">
        <v>-436.05500000000001</v>
      </c>
      <c r="F388" s="214">
        <v>-120.52200000000001</v>
      </c>
    </row>
    <row r="389" spans="2:6" x14ac:dyDescent="0.15">
      <c r="B389" s="8" t="s">
        <v>362</v>
      </c>
      <c r="D389" s="214">
        <v>-234.02199999999999</v>
      </c>
      <c r="E389" s="214">
        <v>-185.77699999999999</v>
      </c>
      <c r="F389" s="214">
        <v>-14.276999999999999</v>
      </c>
    </row>
    <row r="390" spans="2:6" x14ac:dyDescent="0.15">
      <c r="B390" s="8" t="s">
        <v>505</v>
      </c>
      <c r="D390" s="214">
        <v>213.869</v>
      </c>
      <c r="E390" s="214">
        <v>307.73700000000002</v>
      </c>
      <c r="F390" s="214">
        <v>36.875999999999998</v>
      </c>
    </row>
    <row r="391" spans="2:6" x14ac:dyDescent="0.15">
      <c r="B391" s="22" t="s">
        <v>364</v>
      </c>
      <c r="D391" s="220">
        <v>102.736</v>
      </c>
      <c r="E391" s="220">
        <v>494.44</v>
      </c>
      <c r="F391" s="220">
        <v>1608.557</v>
      </c>
    </row>
    <row r="392" spans="2:6" x14ac:dyDescent="0.15">
      <c r="B392" s="8" t="s">
        <v>366</v>
      </c>
      <c r="D392" s="214">
        <v>13.038</v>
      </c>
      <c r="E392" s="214">
        <v>26.315999999999999</v>
      </c>
      <c r="F392" s="214">
        <v>48.521999999999998</v>
      </c>
    </row>
    <row r="393" spans="2:6" x14ac:dyDescent="0.15">
      <c r="B393" s="8" t="s">
        <v>365</v>
      </c>
      <c r="D393" s="214">
        <v>-528.57799999999997</v>
      </c>
      <c r="E393" s="214">
        <v>-613.09</v>
      </c>
      <c r="F393" s="214">
        <v>-1308.9680000000001</v>
      </c>
    </row>
    <row r="394" spans="2:6" x14ac:dyDescent="0.15">
      <c r="B394" s="8" t="s">
        <v>368</v>
      </c>
      <c r="D394" s="214">
        <v>-195.96600000000001</v>
      </c>
      <c r="E394" s="214">
        <v>-191.37100000000001</v>
      </c>
      <c r="F394" s="214">
        <v>-621.13099999999997</v>
      </c>
    </row>
    <row r="395" spans="2:6" x14ac:dyDescent="0.15">
      <c r="B395" s="8" t="s">
        <v>369</v>
      </c>
      <c r="D395" s="214">
        <v>0</v>
      </c>
      <c r="E395" s="214">
        <v>-224.821</v>
      </c>
    </row>
    <row r="396" spans="2:6" x14ac:dyDescent="0.15">
      <c r="B396" s="8" t="s">
        <v>93</v>
      </c>
      <c r="D396" s="214">
        <v>2.5270000000000001</v>
      </c>
      <c r="E396" s="214">
        <v>1.286</v>
      </c>
      <c r="F396" s="214">
        <v>4.8639999999999999</v>
      </c>
    </row>
    <row r="397" spans="2:6" x14ac:dyDescent="0.15">
      <c r="B397" s="8" t="s">
        <v>506</v>
      </c>
      <c r="D397" s="214">
        <v>-14</v>
      </c>
      <c r="E397" s="214">
        <v>-111.48</v>
      </c>
    </row>
    <row r="398" spans="2:6" x14ac:dyDescent="0.15">
      <c r="B398" s="8" t="s">
        <v>372</v>
      </c>
      <c r="D398" s="214">
        <v>2.8420000000000001</v>
      </c>
      <c r="E398" s="214">
        <v>0.222</v>
      </c>
    </row>
    <row r="399" spans="2:6" x14ac:dyDescent="0.15">
      <c r="B399" s="22" t="s">
        <v>373</v>
      </c>
      <c r="D399" s="220">
        <v>-720.13699999999994</v>
      </c>
      <c r="E399" s="220">
        <v>-1112.9380000000001</v>
      </c>
      <c r="F399" s="220">
        <v>-2264.9340000000002</v>
      </c>
    </row>
    <row r="400" spans="2:6" x14ac:dyDescent="0.15">
      <c r="B400" s="8" t="s">
        <v>97</v>
      </c>
      <c r="D400" s="214">
        <v>-66.400999999999996</v>
      </c>
      <c r="E400" s="214">
        <v>-111.943</v>
      </c>
      <c r="F400" s="214">
        <v>-193.97499999999999</v>
      </c>
    </row>
    <row r="401" spans="2:6" x14ac:dyDescent="0.15">
      <c r="B401" s="8" t="s">
        <v>374</v>
      </c>
      <c r="D401" s="214">
        <v>591.25800000000004</v>
      </c>
      <c r="E401" s="214">
        <v>1409.7159999999999</v>
      </c>
    </row>
    <row r="402" spans="2:6" x14ac:dyDescent="0.15">
      <c r="B402" s="8" t="s">
        <v>375</v>
      </c>
      <c r="D402" s="214">
        <v>-214.41200000000001</v>
      </c>
      <c r="E402" s="214">
        <v>-332.25599999999997</v>
      </c>
    </row>
    <row r="403" spans="2:6" x14ac:dyDescent="0.15">
      <c r="B403" s="8" t="s">
        <v>507</v>
      </c>
      <c r="D403" s="214">
        <v>0</v>
      </c>
      <c r="E403" s="214">
        <v>0</v>
      </c>
      <c r="F403" s="214">
        <v>-274.83999999999997</v>
      </c>
    </row>
    <row r="404" spans="2:6" x14ac:dyDescent="0.15">
      <c r="B404" s="8" t="s">
        <v>377</v>
      </c>
      <c r="D404" s="214">
        <v>-124.803</v>
      </c>
      <c r="E404" s="214">
        <v>-151.381</v>
      </c>
      <c r="F404" s="214">
        <v>-286.54899999999998</v>
      </c>
    </row>
    <row r="405" spans="2:6" x14ac:dyDescent="0.15">
      <c r="B405" s="8" t="s">
        <v>378</v>
      </c>
      <c r="D405" s="214">
        <v>-11.677</v>
      </c>
      <c r="E405" s="214">
        <v>-12.458</v>
      </c>
    </row>
    <row r="406" spans="2:6" x14ac:dyDescent="0.15">
      <c r="B406" s="8" t="s">
        <v>102</v>
      </c>
      <c r="D406" s="214">
        <v>-1.8140000000000001</v>
      </c>
      <c r="E406" s="214">
        <v>-8.9090000000000007</v>
      </c>
    </row>
    <row r="407" spans="2:6" x14ac:dyDescent="0.15">
      <c r="B407" s="22" t="s">
        <v>383</v>
      </c>
      <c r="D407" s="220">
        <v>172.15100000000001</v>
      </c>
      <c r="E407" s="220">
        <v>792.76900000000001</v>
      </c>
      <c r="F407" s="220">
        <v>699.77599999999995</v>
      </c>
    </row>
    <row r="408" spans="2:6" x14ac:dyDescent="0.15">
      <c r="B408" s="22" t="s">
        <v>104</v>
      </c>
      <c r="D408" s="220">
        <v>-445.25</v>
      </c>
      <c r="E408" s="220">
        <v>174.27099999999999</v>
      </c>
    </row>
    <row r="409" spans="2:6" x14ac:dyDescent="0.15">
      <c r="B409" s="8" t="s">
        <v>106</v>
      </c>
      <c r="D409" s="214">
        <v>1229.999</v>
      </c>
      <c r="E409" s="214">
        <v>634.71799999999996</v>
      </c>
    </row>
    <row r="410" spans="2:6" x14ac:dyDescent="0.15">
      <c r="B410" s="8" t="s">
        <v>105</v>
      </c>
      <c r="D410" s="214">
        <v>-6.8689999999999998</v>
      </c>
      <c r="E410" s="214">
        <v>-0.54500000000000004</v>
      </c>
    </row>
    <row r="411" spans="2:6" x14ac:dyDescent="0.15">
      <c r="B411" s="22" t="s">
        <v>107</v>
      </c>
      <c r="D411" s="220">
        <v>777.88</v>
      </c>
      <c r="E411" s="220">
        <v>808.44399999999996</v>
      </c>
    </row>
    <row r="412" spans="2:6" x14ac:dyDescent="0.15">
      <c r="B412" s="17"/>
    </row>
    <row r="413" spans="2:6" x14ac:dyDescent="0.15">
      <c r="B413" s="18" t="s">
        <v>508</v>
      </c>
    </row>
    <row r="414" spans="2:6" x14ac:dyDescent="0.15">
      <c r="D414" s="12" t="s">
        <v>487</v>
      </c>
      <c r="E414" s="12" t="s">
        <v>488</v>
      </c>
    </row>
    <row r="415" spans="2:6" x14ac:dyDescent="0.15">
      <c r="B415" s="18" t="s">
        <v>390</v>
      </c>
    </row>
    <row r="416" spans="2:6" x14ac:dyDescent="0.15">
      <c r="B416" s="8" t="s">
        <v>10</v>
      </c>
      <c r="D416" s="214">
        <v>3007.973</v>
      </c>
      <c r="E416" s="214">
        <v>3474.777</v>
      </c>
    </row>
    <row r="417" spans="2:5" x14ac:dyDescent="0.15">
      <c r="B417" s="8" t="s">
        <v>11</v>
      </c>
      <c r="D417" s="214">
        <v>812.56899999999996</v>
      </c>
      <c r="E417" s="214">
        <v>826.4</v>
      </c>
    </row>
    <row r="418" spans="2:5" x14ac:dyDescent="0.15">
      <c r="B418" s="8" t="s">
        <v>12</v>
      </c>
      <c r="D418" s="214">
        <v>667.54300000000001</v>
      </c>
      <c r="E418" s="214">
        <v>830.70500000000004</v>
      </c>
    </row>
    <row r="419" spans="2:5" x14ac:dyDescent="0.15">
      <c r="B419" s="8" t="s">
        <v>13</v>
      </c>
      <c r="D419" s="214">
        <v>744.03399999999999</v>
      </c>
      <c r="E419" s="214">
        <v>725.029</v>
      </c>
    </row>
    <row r="420" spans="2:5" x14ac:dyDescent="0.15">
      <c r="B420" s="8" t="s">
        <v>14</v>
      </c>
      <c r="D420" s="214">
        <v>-167.49299999999999</v>
      </c>
      <c r="E420" s="214">
        <v>-275.32400000000001</v>
      </c>
    </row>
    <row r="421" spans="2:5" x14ac:dyDescent="0.15">
      <c r="B421" s="22" t="s">
        <v>392</v>
      </c>
      <c r="D421" s="220">
        <v>5064.6260000000002</v>
      </c>
      <c r="E421" s="220">
        <v>5581.5870000000004</v>
      </c>
    </row>
    <row r="422" spans="2:5" x14ac:dyDescent="0.15">
      <c r="B422" s="18" t="s">
        <v>393</v>
      </c>
    </row>
    <row r="423" spans="2:5" x14ac:dyDescent="0.15">
      <c r="B423" s="8" t="s">
        <v>10</v>
      </c>
      <c r="D423" s="214">
        <v>112.30800000000001</v>
      </c>
      <c r="E423" s="214">
        <v>160.24299999999999</v>
      </c>
    </row>
    <row r="424" spans="2:5" x14ac:dyDescent="0.15">
      <c r="B424" s="8" t="s">
        <v>11</v>
      </c>
      <c r="D424" s="214">
        <v>1.0029999999999999</v>
      </c>
      <c r="E424" s="214">
        <v>0.215</v>
      </c>
    </row>
    <row r="425" spans="2:5" x14ac:dyDescent="0.15">
      <c r="B425" s="8" t="s">
        <v>12</v>
      </c>
      <c r="D425" s="214">
        <v>44.512</v>
      </c>
      <c r="E425" s="214">
        <v>73.153000000000006</v>
      </c>
    </row>
    <row r="426" spans="2:5" x14ac:dyDescent="0.15">
      <c r="B426" s="8" t="s">
        <v>13</v>
      </c>
      <c r="D426" s="214">
        <v>9.67</v>
      </c>
      <c r="E426" s="214">
        <v>41.713000000000001</v>
      </c>
    </row>
    <row r="427" spans="2:5" x14ac:dyDescent="0.15">
      <c r="B427" s="18" t="s">
        <v>509</v>
      </c>
    </row>
    <row r="428" spans="2:5" x14ac:dyDescent="0.15">
      <c r="B428" s="22" t="s">
        <v>10</v>
      </c>
      <c r="E428" s="220">
        <v>0.155188892985409</v>
      </c>
    </row>
    <row r="429" spans="2:5" x14ac:dyDescent="0.15">
      <c r="B429" s="22" t="s">
        <v>11</v>
      </c>
      <c r="E429" s="220">
        <v>1.70213237275849E-2</v>
      </c>
    </row>
    <row r="430" spans="2:5" x14ac:dyDescent="0.15">
      <c r="B430" s="22" t="s">
        <v>12</v>
      </c>
      <c r="E430" s="220">
        <v>0.24442170766527399</v>
      </c>
    </row>
    <row r="431" spans="2:5" x14ac:dyDescent="0.15">
      <c r="B431" s="22" t="s">
        <v>13</v>
      </c>
      <c r="E431" s="220">
        <v>-2.5543187542504699E-2</v>
      </c>
    </row>
    <row r="432" spans="2:5" x14ac:dyDescent="0.15">
      <c r="B432" s="18" t="s">
        <v>510</v>
      </c>
    </row>
    <row r="433" spans="2:5" x14ac:dyDescent="0.15">
      <c r="B433" s="8" t="s">
        <v>10</v>
      </c>
      <c r="D433" s="214">
        <v>212.393</v>
      </c>
      <c r="E433" s="214">
        <v>260.95</v>
      </c>
    </row>
    <row r="434" spans="2:5" x14ac:dyDescent="0.15">
      <c r="B434" s="8" t="s">
        <v>11</v>
      </c>
      <c r="D434" s="214">
        <v>50.753999999999998</v>
      </c>
      <c r="E434" s="214">
        <v>64.656000000000006</v>
      </c>
    </row>
    <row r="435" spans="2:5" x14ac:dyDescent="0.15">
      <c r="B435" s="8" t="s">
        <v>12</v>
      </c>
      <c r="D435" s="214">
        <v>2.2080000000000002</v>
      </c>
      <c r="E435" s="214">
        <v>-3.0510000000000002</v>
      </c>
    </row>
    <row r="436" spans="2:5" x14ac:dyDescent="0.15">
      <c r="B436" s="8" t="s">
        <v>13</v>
      </c>
      <c r="D436" s="214">
        <v>34.218000000000004</v>
      </c>
      <c r="E436" s="214">
        <v>48.107999999999997</v>
      </c>
    </row>
    <row r="437" spans="2:5" x14ac:dyDescent="0.15">
      <c r="B437" s="22" t="s">
        <v>395</v>
      </c>
      <c r="D437" s="220">
        <v>299.57299999999998</v>
      </c>
      <c r="E437" s="220">
        <v>370.66300000000001</v>
      </c>
    </row>
    <row r="438" spans="2:5" x14ac:dyDescent="0.15">
      <c r="B438" s="18" t="s">
        <v>511</v>
      </c>
    </row>
    <row r="439" spans="2:5" x14ac:dyDescent="0.15">
      <c r="B439" s="8" t="s">
        <v>10</v>
      </c>
      <c r="D439" s="214">
        <v>165.648</v>
      </c>
      <c r="E439" s="214">
        <v>239.87299999999999</v>
      </c>
    </row>
    <row r="440" spans="2:5" x14ac:dyDescent="0.15">
      <c r="B440" s="8" t="s">
        <v>11</v>
      </c>
      <c r="D440" s="214">
        <v>49.228999999999999</v>
      </c>
      <c r="E440" s="214">
        <v>56.113999999999997</v>
      </c>
    </row>
    <row r="441" spans="2:5" x14ac:dyDescent="0.15">
      <c r="B441" s="8" t="s">
        <v>12</v>
      </c>
      <c r="D441" s="214">
        <v>62.146000000000001</v>
      </c>
      <c r="E441" s="214">
        <v>81.643000000000001</v>
      </c>
    </row>
    <row r="442" spans="2:5" x14ac:dyDescent="0.15">
      <c r="B442" s="8" t="s">
        <v>13</v>
      </c>
      <c r="D442" s="214">
        <v>82.805000000000007</v>
      </c>
      <c r="E442" s="214">
        <v>60.673000000000002</v>
      </c>
    </row>
    <row r="443" spans="2:5" x14ac:dyDescent="0.15">
      <c r="B443" s="18" t="s">
        <v>512</v>
      </c>
    </row>
    <row r="444" spans="2:5" x14ac:dyDescent="0.15">
      <c r="B444" s="8" t="s">
        <v>10</v>
      </c>
      <c r="D444" s="214">
        <v>15.965</v>
      </c>
      <c r="E444" s="214">
        <v>-11.423</v>
      </c>
    </row>
    <row r="445" spans="2:5" x14ac:dyDescent="0.15">
      <c r="B445" s="8" t="s">
        <v>11</v>
      </c>
      <c r="D445" s="214">
        <v>-2.95</v>
      </c>
      <c r="E445" s="214">
        <v>0.873</v>
      </c>
    </row>
    <row r="446" spans="2:5" x14ac:dyDescent="0.15">
      <c r="B446" s="8" t="s">
        <v>12</v>
      </c>
      <c r="D446" s="214">
        <v>1.974</v>
      </c>
      <c r="E446" s="214">
        <v>0.76700000000000002</v>
      </c>
    </row>
    <row r="447" spans="2:5" x14ac:dyDescent="0.15">
      <c r="B447" s="8" t="s">
        <v>13</v>
      </c>
      <c r="D447" s="214">
        <v>-0.60399999999999998</v>
      </c>
      <c r="E447" s="214">
        <v>-17.568000000000001</v>
      </c>
    </row>
    <row r="448" spans="2:5" x14ac:dyDescent="0.15">
      <c r="B448" s="18" t="s">
        <v>28</v>
      </c>
    </row>
    <row r="449" spans="2:5" x14ac:dyDescent="0.15">
      <c r="B449" s="22" t="s">
        <v>10</v>
      </c>
      <c r="D449" s="220">
        <v>394.00599999999997</v>
      </c>
      <c r="E449" s="220">
        <v>489.4</v>
      </c>
    </row>
    <row r="450" spans="2:5" x14ac:dyDescent="0.15">
      <c r="B450" s="22" t="s">
        <v>11</v>
      </c>
      <c r="D450" s="220">
        <v>97.033000000000001</v>
      </c>
      <c r="E450" s="220">
        <v>121.643</v>
      </c>
    </row>
    <row r="451" spans="2:5" x14ac:dyDescent="0.15">
      <c r="B451" s="22" t="s">
        <v>12</v>
      </c>
      <c r="D451" s="220">
        <v>66.328000000000003</v>
      </c>
      <c r="E451" s="220">
        <v>79.358999999999995</v>
      </c>
    </row>
    <row r="452" spans="2:5" x14ac:dyDescent="0.15">
      <c r="B452" s="22" t="s">
        <v>13</v>
      </c>
      <c r="D452" s="220">
        <v>116.419</v>
      </c>
      <c r="E452" s="220">
        <v>91.212999999999994</v>
      </c>
    </row>
    <row r="453" spans="2:5" x14ac:dyDescent="0.15">
      <c r="B453" s="22" t="s">
        <v>513</v>
      </c>
      <c r="D453" s="220">
        <v>673.78599999999994</v>
      </c>
      <c r="E453" s="220">
        <v>781.61500000000001</v>
      </c>
    </row>
    <row r="454" spans="2:5" x14ac:dyDescent="0.15">
      <c r="B454" s="18" t="s">
        <v>514</v>
      </c>
    </row>
    <row r="455" spans="2:5" x14ac:dyDescent="0.15">
      <c r="B455" s="8" t="s">
        <v>10</v>
      </c>
      <c r="D455" s="19">
        <v>0.130987212983627</v>
      </c>
      <c r="E455" s="19">
        <v>0.140843570680939</v>
      </c>
    </row>
    <row r="456" spans="2:5" x14ac:dyDescent="0.15">
      <c r="B456" s="8" t="s">
        <v>11</v>
      </c>
      <c r="D456" s="19">
        <v>0.119415089672385</v>
      </c>
      <c r="E456" s="19">
        <v>0.14719627299128801</v>
      </c>
    </row>
    <row r="457" spans="2:5" x14ac:dyDescent="0.15">
      <c r="B457" s="8" t="s">
        <v>12</v>
      </c>
      <c r="D457" s="19">
        <v>9.9361389453563306E-2</v>
      </c>
      <c r="E457" s="19">
        <v>9.55321082694819E-2</v>
      </c>
    </row>
    <row r="458" spans="2:5" x14ac:dyDescent="0.15">
      <c r="B458" s="8" t="s">
        <v>13</v>
      </c>
      <c r="D458" s="19">
        <v>0.156470000026881</v>
      </c>
      <c r="E458" s="19">
        <v>0.125806002242669</v>
      </c>
    </row>
    <row r="459" spans="2:5" x14ac:dyDescent="0.15">
      <c r="B459" s="18" t="s">
        <v>515</v>
      </c>
    </row>
    <row r="460" spans="2:5" x14ac:dyDescent="0.15">
      <c r="B460" s="8" t="s">
        <v>10</v>
      </c>
      <c r="D460" s="214">
        <v>363.93200000000002</v>
      </c>
      <c r="E460" s="214">
        <v>503.33600000000001</v>
      </c>
    </row>
    <row r="461" spans="2:5" x14ac:dyDescent="0.15">
      <c r="B461" s="8" t="s">
        <v>11</v>
      </c>
      <c r="D461" s="214">
        <v>121.658</v>
      </c>
      <c r="E461" s="214">
        <v>157.19499999999999</v>
      </c>
    </row>
    <row r="462" spans="2:5" x14ac:dyDescent="0.15">
      <c r="B462" s="8" t="s">
        <v>12</v>
      </c>
      <c r="D462" s="214">
        <v>70.052999999999997</v>
      </c>
      <c r="E462" s="214">
        <v>115.908</v>
      </c>
    </row>
    <row r="463" spans="2:5" x14ac:dyDescent="0.15">
      <c r="B463" s="8" t="s">
        <v>13</v>
      </c>
      <c r="D463" s="214">
        <v>52.055</v>
      </c>
      <c r="E463" s="214">
        <v>90.286000000000001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Cover</vt:lpstr>
      <vt:lpstr>Dashboard</vt:lpstr>
      <vt:lpstr>Outputs</vt:lpstr>
      <vt:lpstr>Inputs</vt:lpstr>
      <vt:lpstr>Model</vt:lpstr>
      <vt:lpstr>Comps</vt:lpstr>
      <vt:lpstr>Hist</vt:lpstr>
      <vt:lpstr>FirstYear</vt:lpstr>
      <vt:lpstr>GuideHigh</vt:lpstr>
      <vt:lpstr>GuideLow</vt:lpstr>
      <vt:lpstr>LastActual</vt:lpstr>
      <vt:lpstr>ModelChecks</vt:lpstr>
      <vt:lpstr>Dashboard!Print_Area</vt:lpstr>
      <vt:lpstr>Scenario</vt:lpstr>
      <vt:lpstr>ScenarioList</vt:lpstr>
      <vt:lpstr>ScenarioName</vt:lpstr>
      <vt:lpstr>SharesOut</vt:lpstr>
      <vt:lpstr>TaxRate</vt:lpstr>
      <vt:lpstr>TGR</vt:lpstr>
      <vt:lpstr>ValDate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Matúš Balko</dc:creator>
  <cp:lastModifiedBy>Matúš Balko</cp:lastModifiedBy>
  <dcterms:created xsi:type="dcterms:W3CDTF">2026-09-25T13:32:23Z</dcterms:created>
  <dcterms:modified xsi:type="dcterms:W3CDTF">2026-10-16T14:22:13Z</dcterms:modified>
</cp:coreProperties>
</file>